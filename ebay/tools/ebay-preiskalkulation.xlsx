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Kalkulation" sheetId="2" state="visible" r:id="rId4"/>
    <sheet name="Gebühren" sheetId="3" state="visible" r:id="rId5"/>
    <sheet name="Upload-Vorlage" sheetId="4" state="visible" r:id="rId6"/>
  </sheets>
  <definedNames>
    <definedName function="false" hidden="true" localSheetId="1" name="_xlnm._FilterDatabase" vbProcedure="false">Kalkulation!$A$12:$AB$72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12" authorId="0">
      <text>
        <r>
          <rPr>
            <sz val="10"/>
            <rFont val="Arial"/>
            <family val="2"/>
          </rPr>
          <t xml:space="preserve">Retourenquote × (Ware + Verpackung + Versand). Annahme: bei einer Retoure sind Ware und Versand verloren.</t>
        </r>
      </text>
    </comment>
    <comment ref="Z12" authorId="0">
      <text>
        <r>
          <rPr>
            <sz val="10"/>
            <rFont val="Arial"/>
            <family val="2"/>
          </rPr>
          <t xml:space="preserve">Verkaufspreis des Artikels (ohne Käufer-Versand), bei dem der Gewinn genau 0 € ist. Rechnet ohne 990-€-Staffel.</t>
        </r>
      </text>
    </comment>
    <comment ref="AA12" authorId="0">
      <text>
        <r>
          <rPr>
            <sz val="10"/>
            <rFont val="Arial"/>
            <family val="2"/>
          </rPr>
          <t xml:space="preserve">Verkaufspreis des Artikels, bei dem die Wunschmarge aus den Einstellungen erreicht wird.</t>
        </r>
      </text>
    </comment>
  </commentList>
</comments>
</file>

<file path=xl/sharedStrings.xml><?xml version="1.0" encoding="utf-8"?>
<sst xmlns="http://schemas.openxmlformats.org/spreadsheetml/2006/main" count="242" uniqueCount="238">
  <si>
    <t xml:space="preserve">eBay Preiskalkulation und Upload-Vorlage</t>
  </si>
  <si>
    <t xml:space="preserve">Stand der Gebühren: 19.10.2026. Quelle gewerblich: https://www.ebay.de/help/selling/fees-credits-invoices/gebhren-fr-gewerbliche-verkufer?id=4809</t>
  </si>
  <si>
    <t xml:space="preserve">Quelle privat: https://www.ebay.de/help/selling/fees-credits-invoices/selling-fees?id=4822</t>
  </si>
  <si>
    <t xml:space="preserve">So benutzst du die Datei</t>
  </si>
  <si>
    <t xml:space="preserve">1. Blatt 'Kalkulation': oben die Einstellungen (gelbe Felder) auf dein Konto anpassen.</t>
  </si>
  <si>
    <t xml:space="preserve">2. Pro Artikel eine Zeile ausfüllen. Nur blaue Zahlen eintragen, alles Schwarze rechnet sich selbst.</t>
  </si>
  <si>
    <t xml:space="preserve">3. Kategorie-Gruppe aus der Auswahlliste wählen. Die Provision kommt automatisch aus dem Blatt 'Gebühren'.</t>
  </si>
  <si>
    <t xml:space="preserve">4. Spalte 'Zielpreis bei Wunschmarge' sagt dir, was der Artikel mindestens kosten muss, damit deine Wunschmarge bleibt.</t>
  </si>
  <si>
    <t xml:space="preserve">5. Blatt 'Upload-Vorlage': fertige Angebote eintragen, dann als CSV (UTF-8) speichern und im Verkäufer-Cockpit unter Berichte &gt; Hochladen einspielen.</t>
  </si>
  <si>
    <t xml:space="preserve">Farblegende</t>
  </si>
  <si>
    <t xml:space="preserve">Blau = Eingabe (deine Zahlen). Schwarz = Formel, nicht überschreiben. Grün = Verweis auf anderes Blatt. Gelb hinterlegt = Einstellung, die du prüfen musst.</t>
  </si>
  <si>
    <t xml:space="preserve">Annahmen, die in den Formeln stecken</t>
  </si>
  <si>
    <t xml:space="preserve">- Provision und Fixanteil gelten für Verkäufer mit Top-Bewertung oder überdurchschnittlichem Servicestatus (eBay-Standardtabelle).</t>
  </si>
  <si>
    <t xml:space="preserve">- Provision wird auf den Gesamtbetrag inkl. Versandkosten des Käufers berechnet, so wie eBay es tut.</t>
  </si>
  <si>
    <t xml:space="preserve">- Fixanteil gewerblich: 0,35 € je Bestellung bis 10 € Gesamtbetrag, 0,45 € darüber. Privat: 0 €.</t>
  </si>
  <si>
    <t xml:space="preserve">- Privatverkäufer: 0 % Provision, 320 kostenlose Angebote pro Monat, danach 0,50 € je Angebot. Privat gilt nur für echte Gelegenheitsverkäufe, nicht für Handel mit Neuware.</t>
  </si>
  <si>
    <t xml:space="preserve">- Angebotsgebühr gewerblich ohne Shop: 0,35 € pro Festpreisangebot und Monat. Sie wird auf die erwarteten Verkäufe je Angebot verteilt (Einstellung).</t>
  </si>
  <si>
    <t xml:space="preserve">- Kategorien mit Staffel: Satz bis 990 € Gesamtbetrag, darüber 3 %. Der Break-even und der Zielpreis rechnen ohne Staffel (bei Artikeln unter 990 € kein Unterschied).</t>
  </si>
  <si>
    <t xml:space="preserve">- Alle eBay-Gebühren sind netto. Ohne Vorsteuerabzug (Privat, Kleinunternehmer) kommen 19 % USt auf die Gebühren obendrauf, das rechnet die Tabelle mit.</t>
  </si>
  <si>
    <t xml:space="preserve">- Retourenquote: erwarteter Anteil der Verkäufe, bei denen Ware und Versand verloren sind. Wird als Risikokosten je Verkauf abgezogen.</t>
  </si>
  <si>
    <t xml:space="preserve">- Anzeigen (Promoted Listings): Prozentsatz vom Gesamtbetrag, nur fällig wenn über die Anzeige verkauft wird. 0 % wenn du keine Anzeigen schaltest.</t>
  </si>
  <si>
    <t xml:space="preserve">Rechtlicher Hinweis</t>
  </si>
  <si>
    <t xml:space="preserve">Wer regelmäßig Neuware mit Gewinnabsicht verkauft, handelt gewerblich: Gewerbeanmeldung, Impressum, Widerrufsbelehrung, LUCID-Registrierung, GPSR-Herstellerangaben. Die Tabelle ersetzt keine Steuerberatung.</t>
  </si>
  <si>
    <t xml:space="preserve">eBay Preiskalkulation je Artikel</t>
  </si>
  <si>
    <t xml:space="preserve">Einstellungen</t>
  </si>
  <si>
    <t xml:space="preserve">Kontotyp</t>
  </si>
  <si>
    <t xml:space="preserve">Gewerblich</t>
  </si>
  <si>
    <t xml:space="preserve">Privat oder Gewerblich. Privat = 0 % Provision, aber nur für echte Gelegenheitsverkäufe erlaubt.</t>
  </si>
  <si>
    <t xml:space="preserve">USt-Satz auf Verkäufe</t>
  </si>
  <si>
    <t xml:space="preserve">19 % Regelbesteuerung. 0 % bei Kleinunternehmer (§ 19 UStG) oder Privat.</t>
  </si>
  <si>
    <t xml:space="preserve">Vorsteuerabzug auf eBay-Gebühren</t>
  </si>
  <si>
    <t xml:space="preserve">Ja</t>
  </si>
  <si>
    <t xml:space="preserve">Ja = USt auf eBay-Gebühren holst du dir zurück. Nein bei Privat/Kleinunternehmer.</t>
  </si>
  <si>
    <t xml:space="preserve">Wunschmarge (vom Gesamtbetrag)</t>
  </si>
  <si>
    <t xml:space="preserve">Zielgewinn nach allen Kosten, Steuern und Gebühren.</t>
  </si>
  <si>
    <t xml:space="preserve">Promoted Listings (Anzeigen) Standard</t>
  </si>
  <si>
    <t xml:space="preserve">Anzeigenrate, falls du Angebote bewirbst. 0 % wenn nicht.</t>
  </si>
  <si>
    <t xml:space="preserve">Erwartete Verkäufe je Angebot und Monat</t>
  </si>
  <si>
    <t xml:space="preserve">Verteilt die monatliche Angebotsgebühr auf die Verkäufe.</t>
  </si>
  <si>
    <t xml:space="preserve">Blau eintragen, Schwarz rechnet. Eine Zeile je Artikel.</t>
  </si>
  <si>
    <t xml:space="preserve">Nr.</t>
  </si>
  <si>
    <t xml:space="preserve">Artikel / SKU</t>
  </si>
  <si>
    <t xml:space="preserve">Kategorie-Gruppe (Auswahl)</t>
  </si>
  <si>
    <t xml:space="preserve">Einkaufspreis (€)</t>
  </si>
  <si>
    <t xml:space="preserve">Anteil Einkaufs-Versand (€)</t>
  </si>
  <si>
    <t xml:space="preserve">Verpackung (€)</t>
  </si>
  <si>
    <t xml:space="preserve">Mein Versand zum Kunden (€)</t>
  </si>
  <si>
    <t xml:space="preserve">Versand, den Käufer zahlt (€)</t>
  </si>
  <si>
    <t xml:space="preserve">Verkaufspreis Artikel (€)</t>
  </si>
  <si>
    <t xml:space="preserve">Anzeigen-Rate (%)</t>
  </si>
  <si>
    <t xml:space="preserve">Retourenquote (%)</t>
  </si>
  <si>
    <t xml:space="preserve">Gesamtbetrag Käufer (€)</t>
  </si>
  <si>
    <t xml:space="preserve">Provision (%)</t>
  </si>
  <si>
    <t xml:space="preserve">Provision (€)</t>
  </si>
  <si>
    <t xml:space="preserve">Fixanteil (€)</t>
  </si>
  <si>
    <t xml:space="preserve">Angebotsgebühr je Verkauf (€)</t>
  </si>
  <si>
    <t xml:space="preserve">Anzeigen (€)</t>
  </si>
  <si>
    <t xml:space="preserve">eBay-Gebühren netto (€)</t>
  </si>
  <si>
    <t xml:space="preserve">USt auf Gebühren, nicht abziehbar (€)</t>
  </si>
  <si>
    <t xml:space="preserve">USt auf Verkauf ans Finanzamt (€)</t>
  </si>
  <si>
    <t xml:space="preserve">Ware + Verpackung + Versand (€)</t>
  </si>
  <si>
    <t xml:space="preserve">Retourenrisiko (€)</t>
  </si>
  <si>
    <t xml:space="preserve">Gewinn je Verkauf (€)</t>
  </si>
  <si>
    <t xml:space="preserve">Marge (% vom Gesamtbetrag)</t>
  </si>
  <si>
    <t xml:space="preserve">Gewinn in % vom Einkauf</t>
  </si>
  <si>
    <t xml:space="preserve">Break-even Verkaufspreis (€)</t>
  </si>
  <si>
    <t xml:space="preserve">Zielpreis bei Wunschmarge (€)</t>
  </si>
  <si>
    <t xml:space="preserve">Preis-Check</t>
  </si>
  <si>
    <t xml:space="preserve">LED-Streifen 5 m mit Fernbedienung</t>
  </si>
  <si>
    <t xml:space="preserve">Technik: Zubehör (Kabel, Handy-Zubehör, Hüllen, Tastaturen, Ladegeräte)</t>
  </si>
  <si>
    <t xml:space="preserve">Handyhülle Silikon iPhone</t>
  </si>
  <si>
    <t xml:space="preserve">Küchen-Organizer 3er-Set</t>
  </si>
  <si>
    <t xml:space="preserve">Möbel &amp; Wohnen (Deko, Küche, Organizer, Haushalt ohne Elektrogeräte)</t>
  </si>
  <si>
    <t xml:space="preserve">Summe / Durchschnitt</t>
  </si>
  <si>
    <t xml:space="preserve">Beispielzeilen 1 bis 3 sind erfundene Werte zum Zeigen des Formats, einfach überschreiben.</t>
  </si>
  <si>
    <t xml:space="preserve">Kategorie-Gruppe</t>
  </si>
  <si>
    <t xml:space="preserve">Provision gewerblich</t>
  </si>
  <si>
    <t xml:space="preserve">Staffel-Schwelle (€)</t>
  </si>
  <si>
    <t xml:space="preserve">Satz über Schwelle</t>
  </si>
  <si>
    <t xml:space="preserve">Hinweis</t>
  </si>
  <si>
    <t xml:space="preserve">Technik: Geräte (Computer, Handys, Konsolen, TV, Haushaltsgeräte, Foto)</t>
  </si>
  <si>
    <t xml:space="preserve">Neuware. Gebraucht/Refurbished teils 5 %.</t>
  </si>
  <si>
    <t xml:space="preserve">Typische Temu-Artikel landen oft hier.</t>
  </si>
  <si>
    <t xml:space="preserve">Haus &amp; Garten: Garten &amp; Terrasse, Heimwerker</t>
  </si>
  <si>
    <t xml:space="preserve">Sport, Baby, Bastelbedarf, Haustierbedarf, Feinschmecker, Reisen, Verschiedenes</t>
  </si>
  <si>
    <t xml:space="preserve">Business &amp; Industrie, Büro &amp; Schreibwaren</t>
  </si>
  <si>
    <t xml:space="preserve">Musikinstrumente</t>
  </si>
  <si>
    <t xml:space="preserve">Kleidung &amp; Accessoires</t>
  </si>
  <si>
    <t xml:space="preserve">12 % bis 990 €, darüber 3 %.</t>
  </si>
  <si>
    <t xml:space="preserve">Sneaker unter 100 €</t>
  </si>
  <si>
    <t xml:space="preserve">Ab 100 € Verkaufspreis nur 7 %.</t>
  </si>
  <si>
    <t xml:space="preserve">Uhren &amp; Schmuck (ohne Shop)</t>
  </si>
  <si>
    <t xml:space="preserve">Teilkategorien wie Armbanduhren 11 %.</t>
  </si>
  <si>
    <t xml:space="preserve">Medien: Bücher, Filme, Musik, Spiele</t>
  </si>
  <si>
    <t xml:space="preserve">Auto &amp; Motorrad: Teile</t>
  </si>
  <si>
    <t xml:space="preserve">Modellbau</t>
  </si>
  <si>
    <t xml:space="preserve">Antiquitäten &amp; Kunst</t>
  </si>
  <si>
    <t xml:space="preserve">Münzen</t>
  </si>
  <si>
    <t xml:space="preserve">Spielzeug / Beauty &amp; Gesundheit / Sammeln (Satz auf eBay-Seite prüfen)</t>
  </si>
  <si>
    <t xml:space="preserve">Auf der eBay-Seite nicht eindeutig lesbar, konservativ 14 % angesetzt. Bitte prüfen.</t>
  </si>
  <si>
    <t xml:space="preserve">Unbekannt / konservativ</t>
  </si>
  <si>
    <t xml:space="preserve">Höchster Standardsatz als Sicherheitsannahme.</t>
  </si>
  <si>
    <t xml:space="preserve">Weitere Gebühren (gewerblich, ohne Shop)</t>
  </si>
  <si>
    <t xml:space="preserve">Fixanteil je Bestellung bis 10,00 € Gesamtbetrag</t>
  </si>
  <si>
    <t xml:space="preserve">Fixanteil je Bestellung über 10,00 € Gesamtbetrag</t>
  </si>
  <si>
    <t xml:space="preserve">Angebotsgebühr je Festpreisangebot und Monat (ohne Shop)</t>
  </si>
  <si>
    <t xml:space="preserve">Angebotsgebühr je Auktion (ohne Shop)</t>
  </si>
  <si>
    <t xml:space="preserve">Shop Basis: 39,95 €/Monat, 400 Festpreisangebote frei, danach 0,10 €</t>
  </si>
  <si>
    <t xml:space="preserve">Internationale Gebühr außerhalb Eurozone/Schweden ohne eBay Internationalen Versand: 1,2 % bis 3,3 %</t>
  </si>
  <si>
    <t xml:space="preserve">Alle Sätze netto, zzgl. 19 % USt auf die eBay-Rechnung</t>
  </si>
  <si>
    <t xml:space="preserve">Private Verkäufer (eBay.de, Inland)</t>
  </si>
  <si>
    <t xml:space="preserve">Provision und Fixanteil</t>
  </si>
  <si>
    <t xml:space="preserve">0 € (seit 1. März 2023 kostenlos)</t>
  </si>
  <si>
    <t xml:space="preserve">Kostenlose Angebote pro Monat</t>
  </si>
  <si>
    <t xml:space="preserve">320, danach 0,50 € je Angebot</t>
  </si>
  <si>
    <t xml:space="preserve">Selbst organisierter Versand ins Ausland</t>
  </si>
  <si>
    <t xml:space="preserve">5 % des Gesamtbetrags</t>
  </si>
  <si>
    <t xml:space="preserve">Wichtig</t>
  </si>
  <si>
    <t xml:space="preserve">Regelmäßiger Handel mit Neuware ist kein Privatverkauf. eBay stuft solche Konten um, das Finanzamt bekommt Daten über die Plattformen-Meldepflicht (DAC7).</t>
  </si>
  <si>
    <t xml:space="preserve">Quelle: https://www.ebay.de/help/selling/fees-credits-invoices/gebhren-fr-gewerbliche-verkufer?id=4809 und https://www.ebay.de/help/selling/fees-credits-invoices/selling-fees?id=4822, abgerufen am 19.10.2026. Prozentsätze in Spalte B sind Eingaben und können bei Gebührenänderungen angepasst werden.</t>
  </si>
  <si>
    <t xml:space="preserve">Action(SiteID=Germany|Country=DE|Currency=EUR|Version=1193)</t>
  </si>
  <si>
    <t xml:space="preserve">Custom label (SKU)</t>
  </si>
  <si>
    <t xml:space="preserve">Category ID</t>
  </si>
  <si>
    <t xml:space="preserve">Title</t>
  </si>
  <si>
    <t xml:space="preserve">Subtitle</t>
  </si>
  <si>
    <t xml:space="preserve">Relationship</t>
  </si>
  <si>
    <t xml:space="preserve">Relationship details</t>
  </si>
  <si>
    <t xml:space="preserve">Schedule Time</t>
  </si>
  <si>
    <t xml:space="preserve">P:EAN</t>
  </si>
  <si>
    <t xml:space="preserve">P:UPC</t>
  </si>
  <si>
    <t xml:space="preserve">P:EPID</t>
  </si>
  <si>
    <t xml:space="preserve">Start price</t>
  </si>
  <si>
    <t xml:space="preserve">Quantity</t>
  </si>
  <si>
    <t xml:space="preserve">Item photo URL</t>
  </si>
  <si>
    <t xml:space="preserve">VideoID</t>
  </si>
  <si>
    <t xml:space="preserve">Condition ID</t>
  </si>
  <si>
    <t xml:space="preserve">Description</t>
  </si>
  <si>
    <t xml:space="preserve">Format</t>
  </si>
  <si>
    <t xml:space="preserve">Duration</t>
  </si>
  <si>
    <t xml:space="preserve">Buy It Now price</t>
  </si>
  <si>
    <t xml:space="preserve">Best Offer Enabled</t>
  </si>
  <si>
    <t xml:space="preserve">Best Offer Auto Accept Price</t>
  </si>
  <si>
    <t xml:space="preserve">Minimum Best Offer Price</t>
  </si>
  <si>
    <t xml:space="preserve">VAT%</t>
  </si>
  <si>
    <t xml:space="preserve">Location</t>
  </si>
  <si>
    <t xml:space="preserve">PostalCode</t>
  </si>
  <si>
    <t xml:space="preserve">Shipping profile name</t>
  </si>
  <si>
    <t xml:space="preserve">Return profile name</t>
  </si>
  <si>
    <t xml:space="preserve">Payment profile name</t>
  </si>
  <si>
    <t xml:space="preserve">Shipping service 1 option</t>
  </si>
  <si>
    <t xml:space="preserve">Shipping service 1 cost</t>
  </si>
  <si>
    <t xml:space="preserve">Shipping service 1 priority</t>
  </si>
  <si>
    <t xml:space="preserve">Shipping service 2 option</t>
  </si>
  <si>
    <t xml:space="preserve">Shipping service 2 cost</t>
  </si>
  <si>
    <t xml:space="preserve">Shipping service 2 priority</t>
  </si>
  <si>
    <t xml:space="preserve">Max dispatch time</t>
  </si>
  <si>
    <t xml:space="preserve">Returns accepted option</t>
  </si>
  <si>
    <t xml:space="preserve">Returns within option</t>
  </si>
  <si>
    <t xml:space="preserve">Refund option</t>
  </si>
  <si>
    <t xml:space="preserve">Return shipping cost paid by</t>
  </si>
  <si>
    <t xml:space="preserve">ProductCompliancePolicyID</t>
  </si>
  <si>
    <t xml:space="preserve">Regional ProductCompliancePolicies</t>
  </si>
  <si>
    <t xml:space="preserve">C:Marke</t>
  </si>
  <si>
    <t xml:space="preserve">C:Herstellernummer</t>
  </si>
  <si>
    <t xml:space="preserve">C:Farbe</t>
  </si>
  <si>
    <t xml:space="preserve">C:Material</t>
  </si>
  <si>
    <t xml:space="preserve">C:Herstellungsland und -region</t>
  </si>
  <si>
    <t xml:space="preserve">Add = neu einstellen, Revise = ändern, End = beenden, VerifyAdd = nur prüfen. Kopfzeile NICHT ändern; mit der von eBay heruntergeladenen Vorlage abgleichen (Version kann abweichen).</t>
  </si>
  <si>
    <t xml:space="preserve">Deine Artikelnummer, frei wählbar, Käufer sieht sie nicht. Am besten gleich wie Spalte 'Artikel / SKU' in der Kalkulation.</t>
  </si>
  <si>
    <t xml:space="preserve">Numerische eBay-Kategorie-ID. Im Verkäufer-Cockpit beim manuellen Einstellen ablesen oder Kategorie-Suche nutzen.</t>
  </si>
  <si>
    <t xml:space="preserve">Max. 80 Zeichen. Suchbegriffe nach vorn: Produktart, Marke/Typ, Menge, Größe, Farbe.</t>
  </si>
  <si>
    <t xml:space="preserve">Untertitel, kostet 1,50 € (gewerblich) bzw. 0,50 € (privat). Meist leer lassen.</t>
  </si>
  <si>
    <t xml:space="preserve">Leer bei normalen Angeboten. 'Variation' in Kindzeilen bei Varianten (Größe/Farbe).</t>
  </si>
  <si>
    <t xml:space="preserve">Varianten-Definition, z. B. Farbe=Schwarz;Weiß|Größe=S;M. Leer bei normalen Angeboten.</t>
  </si>
  <si>
    <t xml:space="preserve">Optionaler Startzeitpunkt JJJJ-MM-TT HH:MM:SS. Leer = sofort.</t>
  </si>
  <si>
    <t xml:space="preserve">EAN (13 Stellen) oder 'Nicht zutreffend' wenn der Artikel keine hat (bei Temu-Ware meist der Fall).</t>
  </si>
  <si>
    <t xml:space="preserve">Nur für US-Artikel nötig, hier leer.</t>
  </si>
  <si>
    <t xml:space="preserve">eBay-Produkt-ID aus dem Katalog, optional.</t>
  </si>
  <si>
    <t xml:space="preserve">Verkaufspreis in EUR mit Punkt als Dezimaltrenner, z. B. 19.99. Aus Spalte 'Zielpreis' der Kalkulation.</t>
  </si>
  <si>
    <t xml:space="preserve">Stückzahl, ganze Zahl. Nur Ware eintragen, die du wirklich vorrätig hast.</t>
  </si>
  <si>
    <t xml:space="preserve">Bild-URLs mit https://, Endung .jpg oder .png, mehrere mit | trennen. Erstes Bild = Hauptbild. Nur eigene Fotos verwenden.</t>
  </si>
  <si>
    <t xml:space="preserve">Optional, eBay-Video-ID.</t>
  </si>
  <si>
    <t xml:space="preserve">1000 = Neu, 1500 = Neu: Sonstige, 2500 = Vom Verkäufer generalüberholt, 3000 = Gebraucht.</t>
  </si>
  <si>
    <t xml:space="preserve">Artikelbeschreibung, einfaches HTML erlaubt (&lt;p&gt;, &lt;br&gt;, &lt;ul&gt;). Gewerblich: Widerruf/Impressum laufen über die eBay-Rahmenbedingungen, trotzdem vollständige Produktangaben machen.</t>
  </si>
  <si>
    <t xml:space="preserve">FixedPrice oder Auction.</t>
  </si>
  <si>
    <t xml:space="preserve">GTC bei FixedPrice (läuft bis auf Widerruf). Bei Auction: 1, 3, 5, 7 oder 10.</t>
  </si>
  <si>
    <t xml:space="preserve">Nur bei Auction: Sofort-Kaufen-Preis.</t>
  </si>
  <si>
    <t xml:space="preserve">1 = Preisvorschlag erlauben, 0 = nicht.</t>
  </si>
  <si>
    <t xml:space="preserve">Preisvorschläge ab diesem Betrag automatisch annehmen (optional).</t>
  </si>
  <si>
    <t xml:space="preserve">Preisvorschläge unter diesem Betrag automatisch ablehnen (optional).</t>
  </si>
  <si>
    <t xml:space="preserve">USt-Satz, z. B. 19. Nur bei Regelbesteuerung ausfüllen, sonst leer.</t>
  </si>
  <si>
    <t xml:space="preserve">Artikelstandort, z. B. Ostfildern.</t>
  </si>
  <si>
    <t xml:space="preserve">Postleitzahl des Artikelstandorts.</t>
  </si>
  <si>
    <t xml:space="preserve">Name deiner Versand-Rahmenbedingung EXAKT wie im Verkäufer-Cockpit (Groß-/Kleinschreibung). Wenn du Rahmenbedingungen nutzt, Spalten 'Shipping service…' bis 'Return shipping…' leer lassen.</t>
  </si>
  <si>
    <t xml:space="preserve">Name deiner Rücknahme-Rahmenbedingung, exakt.</t>
  </si>
  <si>
    <t xml:space="preserve">Name deiner Zahlungs-Rahmenbedingung, exakt.</t>
  </si>
  <si>
    <t xml:space="preserve">Nur ohne Rahmenbedingungen: Versandservice-Code, z. B. DE_DHLPaket, DE_DHLPaeckchen, DE_HermesPaket, DE_DeutschePostBrief.</t>
  </si>
  <si>
    <t xml:space="preserve">Versandkosten für Käufer in EUR, 0.00 = kostenloser Versand.</t>
  </si>
  <si>
    <t xml:space="preserve">1 = erste Versandoption.</t>
  </si>
  <si>
    <t xml:space="preserve">Zweite Versandoption, optional.</t>
  </si>
  <si>
    <t xml:space="preserve">Kosten zweite Option.</t>
  </si>
  <si>
    <t xml:space="preserve">2.</t>
  </si>
  <si>
    <t xml:space="preserve">Bearbeitungszeit in Werktagen: 1, 2, 3, 4, 5, 10, 15, 20, 30. Nur möglich, wenn du die Ware selbst lagerst.</t>
  </si>
  <si>
    <t xml:space="preserve">ReturnsAccepted oder ReturnsNotAccepted. Gewerblich: Rücknahme ist Pflicht (14 Tage Widerruf).</t>
  </si>
  <si>
    <t xml:space="preserve">Days_14, Days_30 oder Days_60.</t>
  </si>
  <si>
    <t xml:space="preserve">MoneyBack oder MoneyBackOrReplacement.</t>
  </si>
  <si>
    <t xml:space="preserve">Buyer oder Seller.</t>
  </si>
  <si>
    <t xml:space="preserve">ID deiner Produktsicherheits-Rahmenbedingung (GPSR: Hersteller, EU-Verantwortlicher, Warnhinweise). Pflicht für Neuware seit 13.12.2024.</t>
  </si>
  <si>
    <t xml:space="preserve">Regionale Produktsicherheits-Angaben, optional.</t>
  </si>
  <si>
    <t xml:space="preserve">Artikelmerkmal Marke. 'Markenlos' wenn keine Marke.</t>
  </si>
  <si>
    <t xml:space="preserve">Artikelmerkmal Herstellernummer oder 'Nicht zutreffend'.</t>
  </si>
  <si>
    <t xml:space="preserve">Artikelmerkmal Farbe.</t>
  </si>
  <si>
    <t xml:space="preserve">Artikelmerkmal Material.</t>
  </si>
  <si>
    <t xml:space="preserve">Herstellungsland, z. B. China. Weitere Pflichtmerkmale je Kategorie als Spalte C:&lt;Merkmalname&gt; ergänzen.</t>
  </si>
  <si>
    <t xml:space="preserve">Add</t>
  </si>
  <si>
    <t xml:space="preserve">LED-5M-RGB-001</t>
  </si>
  <si>
    <t xml:space="preserve">20702</t>
  </si>
  <si>
    <t xml:space="preserve">LED Streifen 5m RGB mit Fernbedienung selbstklebend dimmbar 16 Farben USB</t>
  </si>
  <si>
    <t xml:space="preserve">Nicht zutreffend</t>
  </si>
  <si>
    <t xml:space="preserve">19.99</t>
  </si>
  <si>
    <t xml:space="preserve">5</t>
  </si>
  <si>
    <t xml:space="preserve">https://DEINE-DOMAIN.de/bilder/led-5m-01.jpg|https://DEINE-DOMAIN.de/bilder/led-5m-02.jpg</t>
  </si>
  <si>
    <t xml:space="preserve">1000</t>
  </si>
  <si>
    <t xml:space="preserve">&lt;p&gt;LED-Streifen 5 m, RGB, 16 Farben, dimmbar, mit Fernbedienung und USB-Anschluss.&lt;/p&gt;&lt;p&gt;Lieferumfang: 1x LED-Streifen 5 m, 1x Fernbedienung, 1x USB-Controller.&lt;/p&gt;&lt;p&gt;Versand aus Deutschland, Rechnung mit ausgewiesener USt.&lt;/p&gt;</t>
  </si>
  <si>
    <t xml:space="preserve">FixedPrice</t>
  </si>
  <si>
    <t xml:space="preserve">GTC</t>
  </si>
  <si>
    <t xml:space="preserve">0</t>
  </si>
  <si>
    <t xml:space="preserve">19</t>
  </si>
  <si>
    <t xml:space="preserve">Ostfildern</t>
  </si>
  <si>
    <t xml:space="preserve">73760</t>
  </si>
  <si>
    <t xml:space="preserve">Standardversand DHL</t>
  </si>
  <si>
    <t xml:space="preserve">Rücknahme 30 Tage</t>
  </si>
  <si>
    <t xml:space="preserve">eBay Zahlungen</t>
  </si>
  <si>
    <t xml:space="preserve">Markenlos</t>
  </si>
  <si>
    <t xml:space="preserve">Mehrfarbig</t>
  </si>
  <si>
    <t xml:space="preserve">Kunststoff</t>
  </si>
  <si>
    <t xml:space="preserve">China</t>
  </si>
  <si>
    <t xml:space="preserve">Vor dem Upload: Zeile 2 (Erklärungen) löschen, Beispielzeile 3 anpassen oder löschen, dann 'Speichern unter' &gt; CSV UTF-8. Hochladen im Verkäufer-Cockpit: Berichte &gt; Hochladen. Ergebnisbericht prüfen, letzte Spalte zeigt Fehler je Zeile.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</si>
</sst>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[RED]\-0.0%;\-"/>
    <numFmt numFmtId="166" formatCode="#,##0.00&quot; €&quot;;[RED]\-#,##0.00&quot; €&quot;;\-"/>
    <numFmt numFmtId="167" formatCode="#,##0&quot; €&quot;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0064D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64D2"/>
        <bgColor rgb="FF3366FF"/>
      </patternFill>
    </fill>
    <fill>
      <patternFill patternType="solid">
        <fgColor rgb="FFE8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64D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F0FA"/>
      <rgbColor rgb="FF660066"/>
      <rgbColor rgb="FFFF8080"/>
      <rgbColor rgb="FF0064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6.85" hidden="false" customHeight="false" outlineLevel="0" collapsed="false">
      <c r="A9" s="2" t="s">
        <v>7</v>
      </c>
    </row>
    <row r="10" customFormat="false" ht="26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26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26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26.85" hidden="false" customHeight="false" outlineLevel="0" collapsed="false">
      <c r="A20" s="2" t="s">
        <v>16</v>
      </c>
    </row>
    <row r="21" customFormat="false" ht="26.85" hidden="false" customHeight="false" outlineLevel="0" collapsed="false">
      <c r="A21" s="2" t="s">
        <v>17</v>
      </c>
    </row>
    <row r="22" customFormat="false" ht="26.85" hidden="false" customHeight="false" outlineLevel="0" collapsed="false">
      <c r="A22" s="2" t="s">
        <v>18</v>
      </c>
    </row>
    <row r="23" customFormat="false" ht="26.85" hidden="false" customHeight="false" outlineLevel="0" collapsed="false">
      <c r="A23" s="2" t="s">
        <v>19</v>
      </c>
    </row>
    <row r="24" customFormat="false" ht="26.8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1" t="s">
        <v>21</v>
      </c>
    </row>
    <row r="27" customFormat="false" ht="26.8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9" min="7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1" min="19" style="0" width="13"/>
    <col collapsed="false" customWidth="true" hidden="false" outlineLevel="0" max="22" min="22" style="0" width="11"/>
    <col collapsed="false" customWidth="true" hidden="false" outlineLevel="0" max="25" min="23" style="0" width="12"/>
    <col collapsed="false" customWidth="true" hidden="false" outlineLevel="0" max="27" min="26" style="0" width="13"/>
    <col collapsed="false" customWidth="true" hidden="false" outlineLevel="0" max="28" min="28" style="0" width="14"/>
  </cols>
  <sheetData>
    <row r="1" customFormat="false" ht="17.35" hidden="false" customHeight="false" outlineLevel="0" collapsed="false">
      <c r="A1" s="3" t="s">
        <v>23</v>
      </c>
    </row>
    <row r="3" customFormat="false" ht="15" hidden="false" customHeight="false" outlineLevel="0" collapsed="false">
      <c r="A3" s="4" t="s">
        <v>24</v>
      </c>
    </row>
    <row r="4" customFormat="false" ht="15" hidden="false" customHeight="false" outlineLevel="0" collapsed="false">
      <c r="A4" s="5" t="s">
        <v>25</v>
      </c>
      <c r="B4" s="6" t="s">
        <v>26</v>
      </c>
      <c r="C4" s="7" t="s">
        <v>27</v>
      </c>
    </row>
    <row r="5" customFormat="false" ht="15" hidden="false" customHeight="false" outlineLevel="0" collapsed="false">
      <c r="A5" s="5" t="s">
        <v>28</v>
      </c>
      <c r="B5" s="8" t="n">
        <v>0.19</v>
      </c>
      <c r="C5" s="7" t="s">
        <v>29</v>
      </c>
    </row>
    <row r="6" customFormat="false" ht="15" hidden="false" customHeight="false" outlineLevel="0" collapsed="false">
      <c r="A6" s="5" t="s">
        <v>30</v>
      </c>
      <c r="B6" s="6" t="s">
        <v>31</v>
      </c>
      <c r="C6" s="7" t="s">
        <v>32</v>
      </c>
    </row>
    <row r="7" customFormat="false" ht="15" hidden="false" customHeight="false" outlineLevel="0" collapsed="false">
      <c r="A7" s="5" t="s">
        <v>33</v>
      </c>
      <c r="B7" s="8" t="n">
        <v>0.2</v>
      </c>
      <c r="C7" s="7" t="s">
        <v>34</v>
      </c>
    </row>
    <row r="8" customFormat="false" ht="15" hidden="false" customHeight="false" outlineLevel="0" collapsed="false">
      <c r="A8" s="5" t="s">
        <v>35</v>
      </c>
      <c r="B8" s="8" t="n">
        <v>0</v>
      </c>
      <c r="C8" s="7" t="s">
        <v>36</v>
      </c>
    </row>
    <row r="9" customFormat="false" ht="15" hidden="false" customHeight="false" outlineLevel="0" collapsed="false">
      <c r="A9" s="5" t="s">
        <v>37</v>
      </c>
      <c r="B9" s="6" t="n">
        <v>1</v>
      </c>
      <c r="C9" s="7" t="s">
        <v>38</v>
      </c>
    </row>
    <row r="11" customFormat="false" ht="15" hidden="false" customHeight="false" outlineLevel="0" collapsed="false">
      <c r="A11" s="7" t="s">
        <v>39</v>
      </c>
    </row>
    <row r="12" customFormat="false" ht="57.75" hidden="false" customHeight="true" outlineLevel="0" collapsed="false">
      <c r="A12" s="9" t="s">
        <v>40</v>
      </c>
      <c r="B12" s="9" t="s">
        <v>41</v>
      </c>
      <c r="C12" s="9" t="s">
        <v>42</v>
      </c>
      <c r="D12" s="9" t="s">
        <v>43</v>
      </c>
      <c r="E12" s="9" t="s">
        <v>44</v>
      </c>
      <c r="F12" s="9" t="s">
        <v>45</v>
      </c>
      <c r="G12" s="9" t="s">
        <v>46</v>
      </c>
      <c r="H12" s="9" t="s">
        <v>47</v>
      </c>
      <c r="I12" s="9" t="s">
        <v>48</v>
      </c>
      <c r="J12" s="9" t="s">
        <v>49</v>
      </c>
      <c r="K12" s="9" t="s">
        <v>50</v>
      </c>
      <c r="L12" s="9" t="s">
        <v>51</v>
      </c>
      <c r="M12" s="9" t="s">
        <v>52</v>
      </c>
      <c r="N12" s="9" t="s">
        <v>53</v>
      </c>
      <c r="O12" s="9" t="s">
        <v>54</v>
      </c>
      <c r="P12" s="9" t="s">
        <v>55</v>
      </c>
      <c r="Q12" s="9" t="s">
        <v>56</v>
      </c>
      <c r="R12" s="9" t="s">
        <v>57</v>
      </c>
      <c r="S12" s="9" t="s">
        <v>58</v>
      </c>
      <c r="T12" s="9" t="s">
        <v>59</v>
      </c>
      <c r="U12" s="9" t="s">
        <v>60</v>
      </c>
      <c r="V12" s="9" t="s">
        <v>61</v>
      </c>
      <c r="W12" s="9" t="s">
        <v>62</v>
      </c>
      <c r="X12" s="9" t="s">
        <v>63</v>
      </c>
      <c r="Y12" s="9" t="s">
        <v>64</v>
      </c>
      <c r="Z12" s="9" t="s">
        <v>65</v>
      </c>
      <c r="AA12" s="9" t="s">
        <v>66</v>
      </c>
      <c r="AB12" s="9" t="s">
        <v>67</v>
      </c>
    </row>
    <row r="13" customFormat="false" ht="15" hidden="false" customHeight="false" outlineLevel="0" collapsed="false">
      <c r="A13" s="10" t="n">
        <v>1</v>
      </c>
      <c r="B13" s="10" t="s">
        <v>68</v>
      </c>
      <c r="C13" s="10" t="s">
        <v>69</v>
      </c>
      <c r="D13" s="11" t="n">
        <v>6.9</v>
      </c>
      <c r="E13" s="11" t="n">
        <v>0.6</v>
      </c>
      <c r="F13" s="11" t="n">
        <v>0.4</v>
      </c>
      <c r="G13" s="11" t="n">
        <v>3.99</v>
      </c>
      <c r="H13" s="11" t="n">
        <v>0</v>
      </c>
      <c r="I13" s="11" t="n">
        <v>19.99</v>
      </c>
      <c r="J13" s="12" t="n">
        <v>0</v>
      </c>
      <c r="K13" s="12" t="n">
        <v>0.05</v>
      </c>
      <c r="L13" s="13" t="n">
        <f aca="false">IF(I13="","",I13+H13)</f>
        <v>19.99</v>
      </c>
      <c r="M13" s="14" t="n">
        <f aca="false">IF(I13="","",IF($B$4="Privat",0,IFERROR(INDEX(Gebühren!$B$2:$B$18,MATCH(C13,Gebühren!$A$2:$A$18,0)),0.14)))</f>
        <v>0.12</v>
      </c>
      <c r="N13" s="13" t="n">
        <f aca="false">IF(I13="","",IF($B$4="Privat",0,IF(OR(IFERROR(INDEX(Gebühren!$C$2:$C$18,MATCH(C13,Gebühren!$A$2:$A$18,0)),0)=0,L13&lt;=IFERROR(INDEX(Gebühren!$C$2:$C$18,MATCH(C13,Gebühren!$A$2:$A$18,0)),0)),L13*M13,INDEX(Gebühren!$C$2:$C$18,MATCH(C13,Gebühren!$A$2:$A$18,0))*M13+(L13-INDEX(Gebühren!$C$2:$C$18,MATCH(C13,Gebühren!$A$2:$A$18,0)))*IFERROR(INDEX(Gebühren!$D$2:$D$18,MATCH(C13,Gebühren!$A$2:$A$18,0)),0.03))))</f>
        <v>2.3988</v>
      </c>
      <c r="O13" s="13" t="n">
        <f aca="false">IF(I13="","",IF($B$4="Privat",0,IF(L13&lt;=10,Gebühren!$B$21,Gebühren!$B$22)))</f>
        <v>0.45</v>
      </c>
      <c r="P13" s="13" t="n">
        <f aca="false">IF(I13="","",IF($B$4="Privat",0,Gebühren!$B$23/MAX(1,$B$9)))</f>
        <v>0.35</v>
      </c>
      <c r="Q13" s="13" t="n">
        <f aca="false">IF(I13="","",L13*IF(J13="",$B$8,J13))</f>
        <v>0</v>
      </c>
      <c r="R13" s="13" t="n">
        <f aca="false">IF(I13="","",N13+O13+P13+Q13)</f>
        <v>3.1988</v>
      </c>
      <c r="S13" s="13" t="n">
        <f aca="false">IF(I13="","",IF($B$6="Ja",0,R13*0.19))</f>
        <v>0</v>
      </c>
      <c r="T13" s="13" t="n">
        <f aca="false">IF(I13="","",L13-L13/(1+$B$5))</f>
        <v>3.19168067226891</v>
      </c>
      <c r="U13" s="13" t="n">
        <f aca="false">IF(I13="","",D13+E13+F13+G13)</f>
        <v>11.89</v>
      </c>
      <c r="V13" s="13" t="n">
        <f aca="false">IF(I13="","",U13*K13)</f>
        <v>0.5945</v>
      </c>
      <c r="W13" s="13" t="n">
        <f aca="false">IF(I13="","",L13-R13-S13-T13-U13-V13)</f>
        <v>1.11501932773109</v>
      </c>
      <c r="X13" s="15" t="n">
        <f aca="false">IF(I13="","",IF(L13=0,0,W13/L13))</f>
        <v>0.0557788558144619</v>
      </c>
      <c r="Y13" s="15" t="n">
        <f aca="false">IF(I13="","",IF(D13=0,0,W13/D13))</f>
        <v>0.161597004018999</v>
      </c>
      <c r="Z13" s="13" t="n">
        <f aca="false">IF(I13="","",IF(1-((M13+IF(J13="",$B$8,J13))*(1+IF($B$6="Ja",0,0.19))+$B$5/(1+$B$5))&lt;=0,"n/a",((O13+P13)*(1+IF($B$6="Ja",0,0.19))+U13+V13)/(1-((M13+IF(J13="",$B$8,J13))*(1+IF($B$6="Ja",0,0.19))+$B$5/(1+$B$5)))-H13))</f>
        <v>18.4420846943537</v>
      </c>
      <c r="AA13" s="13" t="n">
        <f aca="false">IF(I13="","",IF(1-((M13+IF(J13="",$B$8,J13))*(1+IF($B$6="Ja",0,0.19))+$B$5/(1+$B$5))-$B$7&lt;=0,"n/a",((O13+P13)*(1+IF($B$6="Ja",0,0.19))+U13+V13)/(1-((M13+IF(J13="",$B$8,J13))*(1+IF($B$6="Ja",0,0.19))+$B$5/(1+$B$5))-$B$7)-H13))</f>
        <v>25.5306120801034</v>
      </c>
      <c r="AB13" s="16" t="str">
        <f aca="false">IF(I13="","",IF(W13&lt;0,"Verlust",IF(X13&lt;$B$7,"unter Wunschmarge","ok")))</f>
        <v>unter Wunschmarge</v>
      </c>
    </row>
    <row r="14" customFormat="false" ht="15" hidden="false" customHeight="false" outlineLevel="0" collapsed="false">
      <c r="A14" s="10" t="n">
        <v>2</v>
      </c>
      <c r="B14" s="10" t="s">
        <v>70</v>
      </c>
      <c r="C14" s="10" t="s">
        <v>69</v>
      </c>
      <c r="D14" s="11" t="n">
        <v>1.8</v>
      </c>
      <c r="E14" s="11" t="n">
        <v>0.3</v>
      </c>
      <c r="F14" s="11" t="n">
        <v>0.2</v>
      </c>
      <c r="G14" s="11" t="n">
        <v>1.8</v>
      </c>
      <c r="H14" s="11" t="n">
        <v>0</v>
      </c>
      <c r="I14" s="11" t="n">
        <v>9.99</v>
      </c>
      <c r="J14" s="12" t="n">
        <v>0</v>
      </c>
      <c r="K14" s="12" t="n">
        <v>0.03</v>
      </c>
      <c r="L14" s="13" t="n">
        <f aca="false">IF(I14="","",I14+H14)</f>
        <v>9.99</v>
      </c>
      <c r="M14" s="14" t="n">
        <f aca="false">IF(I14="","",IF($B$4="Privat",0,IFERROR(INDEX(Gebühren!$B$2:$B$18,MATCH(C14,Gebühren!$A$2:$A$18,0)),0.14)))</f>
        <v>0.12</v>
      </c>
      <c r="N14" s="13" t="n">
        <f aca="false">IF(I14="","",IF($B$4="Privat",0,IF(OR(IFERROR(INDEX(Gebühren!$C$2:$C$18,MATCH(C14,Gebühren!$A$2:$A$18,0)),0)=0,L14&lt;=IFERROR(INDEX(Gebühren!$C$2:$C$18,MATCH(C14,Gebühren!$A$2:$A$18,0)),0)),L14*M14,INDEX(Gebühren!$C$2:$C$18,MATCH(C14,Gebühren!$A$2:$A$18,0))*M14+(L14-INDEX(Gebühren!$C$2:$C$18,MATCH(C14,Gebühren!$A$2:$A$18,0)))*IFERROR(INDEX(Gebühren!$D$2:$D$18,MATCH(C14,Gebühren!$A$2:$A$18,0)),0.03))))</f>
        <v>1.1988</v>
      </c>
      <c r="O14" s="13" t="n">
        <f aca="false">IF(I14="","",IF($B$4="Privat",0,IF(L14&lt;=10,Gebühren!$B$21,Gebühren!$B$22)))</f>
        <v>0.35</v>
      </c>
      <c r="P14" s="13" t="n">
        <f aca="false">IF(I14="","",IF($B$4="Privat",0,Gebühren!$B$23/MAX(1,$B$9)))</f>
        <v>0.35</v>
      </c>
      <c r="Q14" s="13" t="n">
        <f aca="false">IF(I14="","",L14*IF(J14="",$B$8,J14))</f>
        <v>0</v>
      </c>
      <c r="R14" s="13" t="n">
        <f aca="false">IF(I14="","",N14+O14+P14+Q14)</f>
        <v>1.8988</v>
      </c>
      <c r="S14" s="13" t="n">
        <f aca="false">IF(I14="","",IF($B$6="Ja",0,R14*0.19))</f>
        <v>0</v>
      </c>
      <c r="T14" s="13" t="n">
        <f aca="false">IF(I14="","",L14-L14/(1+$B$5))</f>
        <v>1.59504201680672</v>
      </c>
      <c r="U14" s="13" t="n">
        <f aca="false">IF(I14="","",D14+E14+F14+G14)</f>
        <v>4.1</v>
      </c>
      <c r="V14" s="13" t="n">
        <f aca="false">IF(I14="","",U14*K14)</f>
        <v>0.123</v>
      </c>
      <c r="W14" s="13" t="n">
        <f aca="false">IF(I14="","",L14-R14-S14-T14-U14-V14)</f>
        <v>2.27315798319328</v>
      </c>
      <c r="X14" s="15" t="n">
        <f aca="false">IF(I14="","",IF(L14=0,0,W14/L14))</f>
        <v>0.227543341660989</v>
      </c>
      <c r="Y14" s="15" t="n">
        <f aca="false">IF(I14="","",IF(D14=0,0,W14/D14))</f>
        <v>1.26286554621849</v>
      </c>
      <c r="Z14" s="13" t="n">
        <f aca="false">IF(I14="","",IF(1-((M14+IF(J14="",$B$8,J14))*(1+IF($B$6="Ja",0,0.19))+$B$5/(1+$B$5))&lt;=0,"n/a",((O14+P14)*(1+IF($B$6="Ja",0,0.19))+U14+V14)/(1-((M14+IF(J14="",$B$8,J14))*(1+IF($B$6="Ja",0,0.19))+$B$5/(1+$B$5)))-H14))</f>
        <v>6.83430937937471</v>
      </c>
      <c r="AA14" s="13" t="n">
        <f aca="false">IF(I14="","",IF(1-((M14+IF(J14="",$B$8,J14))*(1+IF($B$6="Ja",0,0.19))+$B$5/(1+$B$5))-$B$7&lt;=0,"n/a",((O14+P14)*(1+IF($B$6="Ja",0,0.19))+U14+V14)/(1-((M14+IF(J14="",$B$8,J14))*(1+IF($B$6="Ja",0,0.19))+$B$5/(1+$B$5))-$B$7)-H14))</f>
        <v>9.46119186046512</v>
      </c>
      <c r="AB14" s="16" t="str">
        <f aca="false">IF(I14="","",IF(W14&lt;0,"Verlust",IF(X14&lt;$B$7,"unter Wunschmarge","ok")))</f>
        <v>ok</v>
      </c>
    </row>
    <row r="15" customFormat="false" ht="15" hidden="false" customHeight="false" outlineLevel="0" collapsed="false">
      <c r="A15" s="10" t="n">
        <v>3</v>
      </c>
      <c r="B15" s="10" t="s">
        <v>71</v>
      </c>
      <c r="C15" s="10" t="s">
        <v>72</v>
      </c>
      <c r="D15" s="11" t="n">
        <v>7.5</v>
      </c>
      <c r="E15" s="11" t="n">
        <v>0.8</v>
      </c>
      <c r="F15" s="11" t="n">
        <v>0.5</v>
      </c>
      <c r="G15" s="11" t="n">
        <v>4.99</v>
      </c>
      <c r="H15" s="11" t="n">
        <v>4.99</v>
      </c>
      <c r="I15" s="11" t="n">
        <v>24.99</v>
      </c>
      <c r="J15" s="12" t="n">
        <v>0</v>
      </c>
      <c r="K15" s="12" t="n">
        <v>0.05</v>
      </c>
      <c r="L15" s="13" t="n">
        <f aca="false">IF(I15="","",I15+H15)</f>
        <v>29.98</v>
      </c>
      <c r="M15" s="14" t="n">
        <f aca="false">IF(I15="","",IF($B$4="Privat",0,IFERROR(INDEX(Gebühren!$B$2:$B$18,MATCH(C15,Gebühren!$A$2:$A$18,0)),0.14)))</f>
        <v>0.14</v>
      </c>
      <c r="N15" s="13" t="n">
        <f aca="false">IF(I15="","",IF($B$4="Privat",0,IF(OR(IFERROR(INDEX(Gebühren!$C$2:$C$18,MATCH(C15,Gebühren!$A$2:$A$18,0)),0)=0,L15&lt;=IFERROR(INDEX(Gebühren!$C$2:$C$18,MATCH(C15,Gebühren!$A$2:$A$18,0)),0)),L15*M15,INDEX(Gebühren!$C$2:$C$18,MATCH(C15,Gebühren!$A$2:$A$18,0))*M15+(L15-INDEX(Gebühren!$C$2:$C$18,MATCH(C15,Gebühren!$A$2:$A$18,0)))*IFERROR(INDEX(Gebühren!$D$2:$D$18,MATCH(C15,Gebühren!$A$2:$A$18,0)),0.03))))</f>
        <v>4.1972</v>
      </c>
      <c r="O15" s="13" t="n">
        <f aca="false">IF(I15="","",IF($B$4="Privat",0,IF(L15&lt;=10,Gebühren!$B$21,Gebühren!$B$22)))</f>
        <v>0.45</v>
      </c>
      <c r="P15" s="13" t="n">
        <f aca="false">IF(I15="","",IF($B$4="Privat",0,Gebühren!$B$23/MAX(1,$B$9)))</f>
        <v>0.35</v>
      </c>
      <c r="Q15" s="13" t="n">
        <f aca="false">IF(I15="","",L15*IF(J15="",$B$8,J15))</f>
        <v>0</v>
      </c>
      <c r="R15" s="13" t="n">
        <f aca="false">IF(I15="","",N15+O15+P15+Q15)</f>
        <v>4.9972</v>
      </c>
      <c r="S15" s="13" t="n">
        <f aca="false">IF(I15="","",IF($B$6="Ja",0,R15*0.19))</f>
        <v>0</v>
      </c>
      <c r="T15" s="13" t="n">
        <f aca="false">IF(I15="","",L15-L15/(1+$B$5))</f>
        <v>4.78672268907563</v>
      </c>
      <c r="U15" s="13" t="n">
        <f aca="false">IF(I15="","",D15+E15+F15+G15)</f>
        <v>13.79</v>
      </c>
      <c r="V15" s="13" t="n">
        <f aca="false">IF(I15="","",U15*K15)</f>
        <v>0.6895</v>
      </c>
      <c r="W15" s="13" t="n">
        <f aca="false">IF(I15="","",L15-R15-S15-T15-U15-V15)</f>
        <v>5.71657731092437</v>
      </c>
      <c r="X15" s="15" t="n">
        <f aca="false">IF(I15="","",IF(L15=0,0,W15/L15))</f>
        <v>0.190679696828698</v>
      </c>
      <c r="Y15" s="15" t="n">
        <f aca="false">IF(I15="","",IF(D15=0,0,W15/D15))</f>
        <v>0.762210308123249</v>
      </c>
      <c r="Z15" s="13" t="n">
        <f aca="false">IF(I15="","",IF(1-((M15+IF(J15="",$B$8,J15))*(1+IF($B$6="Ja",0,0.19))+$B$5/(1+$B$5))&lt;=0,"n/a",((O15+P15)*(1+IF($B$6="Ja",0,0.19))+U15+V15)/(1-((M15+IF(J15="",$B$8,J15))*(1+IF($B$6="Ja",0,0.19))+$B$5/(1+$B$5)))-H15))</f>
        <v>16.8273806095512</v>
      </c>
      <c r="AA15" s="13" t="n">
        <f aca="false">IF(I15="","",IF(1-((M15+IF(J15="",$B$8,J15))*(1+IF($B$6="Ja",0,0.19))+$B$5/(1+$B$5))-$B$7&lt;=0,"n/a",((O15+P15)*(1+IF($B$6="Ja",0,0.19))+U15+V15)/(1-((M15+IF(J15="",$B$8,J15))*(1+IF($B$6="Ja",0,0.19))+$B$5/(1+$B$5))-$B$7)-H15))</f>
        <v>25.5484699361774</v>
      </c>
      <c r="AB15" s="16" t="str">
        <f aca="false">IF(I15="","",IF(W15&lt;0,"Verlust",IF(X15&lt;$B$7,"unter Wunschmarge","ok")))</f>
        <v>unter Wunschmarge</v>
      </c>
    </row>
    <row r="16" customFormat="false" ht="15" hidden="false" customHeight="false" outlineLevel="0" collapsed="false">
      <c r="A16" s="10" t="n">
        <v>4</v>
      </c>
      <c r="B16" s="10"/>
      <c r="C16" s="10"/>
      <c r="D16" s="11"/>
      <c r="E16" s="11"/>
      <c r="F16" s="11"/>
      <c r="G16" s="11"/>
      <c r="H16" s="11"/>
      <c r="I16" s="11"/>
      <c r="J16" s="12"/>
      <c r="K16" s="12"/>
      <c r="L16" s="13" t="str">
        <f aca="false">IF(I16="","",I16+H16)</f>
        <v/>
      </c>
      <c r="M16" s="14" t="str">
        <f aca="false">IF(I16="","",IF($B$4="Privat",0,IFERROR(INDEX(Gebühren!$B$2:$B$18,MATCH(C16,Gebühren!$A$2:$A$18,0)),0.14)))</f>
        <v/>
      </c>
      <c r="N16" s="13" t="str">
        <f aca="false">IF(I16="","",IF($B$4="Privat",0,IF(OR(IFERROR(INDEX(Gebühren!$C$2:$C$18,MATCH(C16,Gebühren!$A$2:$A$18,0)),0)=0,L16&lt;=IFERROR(INDEX(Gebühren!$C$2:$C$18,MATCH(C16,Gebühren!$A$2:$A$18,0)),0)),L16*M16,INDEX(Gebühren!$C$2:$C$18,MATCH(C16,Gebühren!$A$2:$A$18,0))*M16+(L16-INDEX(Gebühren!$C$2:$C$18,MATCH(C16,Gebühren!$A$2:$A$18,0)))*IFERROR(INDEX(Gebühren!$D$2:$D$18,MATCH(C16,Gebühren!$A$2:$A$18,0)),0.03))))</f>
        <v/>
      </c>
      <c r="O16" s="13" t="str">
        <f aca="false">IF(I16="","",IF($B$4="Privat",0,IF(L16&lt;=10,Gebühren!$B$21,Gebühren!$B$22)))</f>
        <v/>
      </c>
      <c r="P16" s="13" t="str">
        <f aca="false">IF(I16="","",IF($B$4="Privat",0,Gebühren!$B$23/MAX(1,$B$9)))</f>
        <v/>
      </c>
      <c r="Q16" s="13" t="str">
        <f aca="false">IF(I16="","",L16*IF(J16="",$B$8,J16))</f>
        <v/>
      </c>
      <c r="R16" s="13" t="str">
        <f aca="false">IF(I16="","",N16+O16+P16+Q16)</f>
        <v/>
      </c>
      <c r="S16" s="13" t="str">
        <f aca="false">IF(I16="","",IF($B$6="Ja",0,R16*0.19))</f>
        <v/>
      </c>
      <c r="T16" s="13" t="str">
        <f aca="false">IF(I16="","",L16-L16/(1+$B$5))</f>
        <v/>
      </c>
      <c r="U16" s="13" t="str">
        <f aca="false">IF(I16="","",D16+E16+F16+G16)</f>
        <v/>
      </c>
      <c r="V16" s="13" t="str">
        <f aca="false">IF(I16="","",U16*K16)</f>
        <v/>
      </c>
      <c r="W16" s="13" t="str">
        <f aca="false">IF(I16="","",L16-R16-S16-T16-U16-V16)</f>
        <v/>
      </c>
      <c r="X16" s="15" t="str">
        <f aca="false">IF(I16="","",IF(L16=0,0,W16/L16))</f>
        <v/>
      </c>
      <c r="Y16" s="15" t="str">
        <f aca="false">IF(I16="","",IF(D16=0,0,W16/D16))</f>
        <v/>
      </c>
      <c r="Z16" s="13" t="str">
        <f aca="false">IF(I16="","",IF(1-((M16+IF(J16="",$B$8,J16))*(1+IF($B$6="Ja",0,0.19))+$B$5/(1+$B$5))&lt;=0,"n/a",((O16+P16)*(1+IF($B$6="Ja",0,0.19))+U16+V16)/(1-((M16+IF(J16="",$B$8,J16))*(1+IF($B$6="Ja",0,0.19))+$B$5/(1+$B$5)))-H16))</f>
        <v/>
      </c>
      <c r="AA16" s="13" t="str">
        <f aca="false">IF(I16="","",IF(1-((M16+IF(J16="",$B$8,J16))*(1+IF($B$6="Ja",0,0.19))+$B$5/(1+$B$5))-$B$7&lt;=0,"n/a",((O16+P16)*(1+IF($B$6="Ja",0,0.19))+U16+V16)/(1-((M16+IF(J16="",$B$8,J16))*(1+IF($B$6="Ja",0,0.19))+$B$5/(1+$B$5))-$B$7)-H16))</f>
        <v/>
      </c>
      <c r="AB16" s="16" t="str">
        <f aca="false">IF(I16="","",IF(W16&lt;0,"Verlust",IF(X16&lt;$B$7,"unter Wunschmarge","ok")))</f>
        <v/>
      </c>
    </row>
    <row r="17" customFormat="false" ht="15" hidden="false" customHeight="false" outlineLevel="0" collapsed="false">
      <c r="A17" s="10" t="n">
        <v>5</v>
      </c>
      <c r="B17" s="10"/>
      <c r="C17" s="10"/>
      <c r="D17" s="11"/>
      <c r="E17" s="11"/>
      <c r="F17" s="11"/>
      <c r="G17" s="11"/>
      <c r="H17" s="11"/>
      <c r="I17" s="11"/>
      <c r="J17" s="12"/>
      <c r="K17" s="12"/>
      <c r="L17" s="13" t="str">
        <f aca="false">IF(I17="","",I17+H17)</f>
        <v/>
      </c>
      <c r="M17" s="14" t="str">
        <f aca="false">IF(I17="","",IF($B$4="Privat",0,IFERROR(INDEX(Gebühren!$B$2:$B$18,MATCH(C17,Gebühren!$A$2:$A$18,0)),0.14)))</f>
        <v/>
      </c>
      <c r="N17" s="13" t="str">
        <f aca="false">IF(I17="","",IF($B$4="Privat",0,IF(OR(IFERROR(INDEX(Gebühren!$C$2:$C$18,MATCH(C17,Gebühren!$A$2:$A$18,0)),0)=0,L17&lt;=IFERROR(INDEX(Gebühren!$C$2:$C$18,MATCH(C17,Gebühren!$A$2:$A$18,0)),0)),L17*M17,INDEX(Gebühren!$C$2:$C$18,MATCH(C17,Gebühren!$A$2:$A$18,0))*M17+(L17-INDEX(Gebühren!$C$2:$C$18,MATCH(C17,Gebühren!$A$2:$A$18,0)))*IFERROR(INDEX(Gebühren!$D$2:$D$18,MATCH(C17,Gebühren!$A$2:$A$18,0)),0.03))))</f>
        <v/>
      </c>
      <c r="O17" s="13" t="str">
        <f aca="false">IF(I17="","",IF($B$4="Privat",0,IF(L17&lt;=10,Gebühren!$B$21,Gebühren!$B$22)))</f>
        <v/>
      </c>
      <c r="P17" s="13" t="str">
        <f aca="false">IF(I17="","",IF($B$4="Privat",0,Gebühren!$B$23/MAX(1,$B$9)))</f>
        <v/>
      </c>
      <c r="Q17" s="13" t="str">
        <f aca="false">IF(I17="","",L17*IF(J17="",$B$8,J17))</f>
        <v/>
      </c>
      <c r="R17" s="13" t="str">
        <f aca="false">IF(I17="","",N17+O17+P17+Q17)</f>
        <v/>
      </c>
      <c r="S17" s="13" t="str">
        <f aca="false">IF(I17="","",IF($B$6="Ja",0,R17*0.19))</f>
        <v/>
      </c>
      <c r="T17" s="13" t="str">
        <f aca="false">IF(I17="","",L17-L17/(1+$B$5))</f>
        <v/>
      </c>
      <c r="U17" s="13" t="str">
        <f aca="false">IF(I17="","",D17+E17+F17+G17)</f>
        <v/>
      </c>
      <c r="V17" s="13" t="str">
        <f aca="false">IF(I17="","",U17*K17)</f>
        <v/>
      </c>
      <c r="W17" s="13" t="str">
        <f aca="false">IF(I17="","",L17-R17-S17-T17-U17-V17)</f>
        <v/>
      </c>
      <c r="X17" s="15" t="str">
        <f aca="false">IF(I17="","",IF(L17=0,0,W17/L17))</f>
        <v/>
      </c>
      <c r="Y17" s="15" t="str">
        <f aca="false">IF(I17="","",IF(D17=0,0,W17/D17))</f>
        <v/>
      </c>
      <c r="Z17" s="13" t="str">
        <f aca="false">IF(I17="","",IF(1-((M17+IF(J17="",$B$8,J17))*(1+IF($B$6="Ja",0,0.19))+$B$5/(1+$B$5))&lt;=0,"n/a",((O17+P17)*(1+IF($B$6="Ja",0,0.19))+U17+V17)/(1-((M17+IF(J17="",$B$8,J17))*(1+IF($B$6="Ja",0,0.19))+$B$5/(1+$B$5)))-H17))</f>
        <v/>
      </c>
      <c r="AA17" s="13" t="str">
        <f aca="false">IF(I17="","",IF(1-((M17+IF(J17="",$B$8,J17))*(1+IF($B$6="Ja",0,0.19))+$B$5/(1+$B$5))-$B$7&lt;=0,"n/a",((O17+P17)*(1+IF($B$6="Ja",0,0.19))+U17+V17)/(1-((M17+IF(J17="",$B$8,J17))*(1+IF($B$6="Ja",0,0.19))+$B$5/(1+$B$5))-$B$7)-H17))</f>
        <v/>
      </c>
      <c r="AB17" s="16" t="str">
        <f aca="false">IF(I17="","",IF(W17&lt;0,"Verlust",IF(X17&lt;$B$7,"unter Wunschmarge","ok")))</f>
        <v/>
      </c>
    </row>
    <row r="18" customFormat="false" ht="15" hidden="false" customHeight="false" outlineLevel="0" collapsed="false">
      <c r="A18" s="10" t="n">
        <v>6</v>
      </c>
      <c r="B18" s="10"/>
      <c r="C18" s="10"/>
      <c r="D18" s="11"/>
      <c r="E18" s="11"/>
      <c r="F18" s="11"/>
      <c r="G18" s="11"/>
      <c r="H18" s="11"/>
      <c r="I18" s="11"/>
      <c r="J18" s="12"/>
      <c r="K18" s="12"/>
      <c r="L18" s="13" t="str">
        <f aca="false">IF(I18="","",I18+H18)</f>
        <v/>
      </c>
      <c r="M18" s="14" t="str">
        <f aca="false">IF(I18="","",IF($B$4="Privat",0,IFERROR(INDEX(Gebühren!$B$2:$B$18,MATCH(C18,Gebühren!$A$2:$A$18,0)),0.14)))</f>
        <v/>
      </c>
      <c r="N18" s="13" t="str">
        <f aca="false">IF(I18="","",IF($B$4="Privat",0,IF(OR(IFERROR(INDEX(Gebühren!$C$2:$C$18,MATCH(C18,Gebühren!$A$2:$A$18,0)),0)=0,L18&lt;=IFERROR(INDEX(Gebühren!$C$2:$C$18,MATCH(C18,Gebühren!$A$2:$A$18,0)),0)),L18*M18,INDEX(Gebühren!$C$2:$C$18,MATCH(C18,Gebühren!$A$2:$A$18,0))*M18+(L18-INDEX(Gebühren!$C$2:$C$18,MATCH(C18,Gebühren!$A$2:$A$18,0)))*IFERROR(INDEX(Gebühren!$D$2:$D$18,MATCH(C18,Gebühren!$A$2:$A$18,0)),0.03))))</f>
        <v/>
      </c>
      <c r="O18" s="13" t="str">
        <f aca="false">IF(I18="","",IF($B$4="Privat",0,IF(L18&lt;=10,Gebühren!$B$21,Gebühren!$B$22)))</f>
        <v/>
      </c>
      <c r="P18" s="13" t="str">
        <f aca="false">IF(I18="","",IF($B$4="Privat",0,Gebühren!$B$23/MAX(1,$B$9)))</f>
        <v/>
      </c>
      <c r="Q18" s="13" t="str">
        <f aca="false">IF(I18="","",L18*IF(J18="",$B$8,J18))</f>
        <v/>
      </c>
      <c r="R18" s="13" t="str">
        <f aca="false">IF(I18="","",N18+O18+P18+Q18)</f>
        <v/>
      </c>
      <c r="S18" s="13" t="str">
        <f aca="false">IF(I18="","",IF($B$6="Ja",0,R18*0.19))</f>
        <v/>
      </c>
      <c r="T18" s="13" t="str">
        <f aca="false">IF(I18="","",L18-L18/(1+$B$5))</f>
        <v/>
      </c>
      <c r="U18" s="13" t="str">
        <f aca="false">IF(I18="","",D18+E18+F18+G18)</f>
        <v/>
      </c>
      <c r="V18" s="13" t="str">
        <f aca="false">IF(I18="","",U18*K18)</f>
        <v/>
      </c>
      <c r="W18" s="13" t="str">
        <f aca="false">IF(I18="","",L18-R18-S18-T18-U18-V18)</f>
        <v/>
      </c>
      <c r="X18" s="15" t="str">
        <f aca="false">IF(I18="","",IF(L18=0,0,W18/L18))</f>
        <v/>
      </c>
      <c r="Y18" s="15" t="str">
        <f aca="false">IF(I18="","",IF(D18=0,0,W18/D18))</f>
        <v/>
      </c>
      <c r="Z18" s="13" t="str">
        <f aca="false">IF(I18="","",IF(1-((M18+IF(J18="",$B$8,J18))*(1+IF($B$6="Ja",0,0.19))+$B$5/(1+$B$5))&lt;=0,"n/a",((O18+P18)*(1+IF($B$6="Ja",0,0.19))+U18+V18)/(1-((M18+IF(J18="",$B$8,J18))*(1+IF($B$6="Ja",0,0.19))+$B$5/(1+$B$5)))-H18))</f>
        <v/>
      </c>
      <c r="AA18" s="13" t="str">
        <f aca="false">IF(I18="","",IF(1-((M18+IF(J18="",$B$8,J18))*(1+IF($B$6="Ja",0,0.19))+$B$5/(1+$B$5))-$B$7&lt;=0,"n/a",((O18+P18)*(1+IF($B$6="Ja",0,0.19))+U18+V18)/(1-((M18+IF(J18="",$B$8,J18))*(1+IF($B$6="Ja",0,0.19))+$B$5/(1+$B$5))-$B$7)-H18))</f>
        <v/>
      </c>
      <c r="AB18" s="16" t="str">
        <f aca="false">IF(I18="","",IF(W18&lt;0,"Verlust",IF(X18&lt;$B$7,"unter Wunschmarge","ok")))</f>
        <v/>
      </c>
    </row>
    <row r="19" customFormat="false" ht="15" hidden="false" customHeight="false" outlineLevel="0" collapsed="false">
      <c r="A19" s="10" t="n">
        <v>7</v>
      </c>
      <c r="B19" s="10"/>
      <c r="C19" s="10"/>
      <c r="D19" s="11"/>
      <c r="E19" s="11"/>
      <c r="F19" s="11"/>
      <c r="G19" s="11"/>
      <c r="H19" s="11"/>
      <c r="I19" s="11"/>
      <c r="J19" s="12"/>
      <c r="K19" s="12"/>
      <c r="L19" s="13" t="str">
        <f aca="false">IF(I19="","",I19+H19)</f>
        <v/>
      </c>
      <c r="M19" s="14" t="str">
        <f aca="false">IF(I19="","",IF($B$4="Privat",0,IFERROR(INDEX(Gebühren!$B$2:$B$18,MATCH(C19,Gebühren!$A$2:$A$18,0)),0.14)))</f>
        <v/>
      </c>
      <c r="N19" s="13" t="str">
        <f aca="false">IF(I19="","",IF($B$4="Privat",0,IF(OR(IFERROR(INDEX(Gebühren!$C$2:$C$18,MATCH(C19,Gebühren!$A$2:$A$18,0)),0)=0,L19&lt;=IFERROR(INDEX(Gebühren!$C$2:$C$18,MATCH(C19,Gebühren!$A$2:$A$18,0)),0)),L19*M19,INDEX(Gebühren!$C$2:$C$18,MATCH(C19,Gebühren!$A$2:$A$18,0))*M19+(L19-INDEX(Gebühren!$C$2:$C$18,MATCH(C19,Gebühren!$A$2:$A$18,0)))*IFERROR(INDEX(Gebühren!$D$2:$D$18,MATCH(C19,Gebühren!$A$2:$A$18,0)),0.03))))</f>
        <v/>
      </c>
      <c r="O19" s="13" t="str">
        <f aca="false">IF(I19="","",IF($B$4="Privat",0,IF(L19&lt;=10,Gebühren!$B$21,Gebühren!$B$22)))</f>
        <v/>
      </c>
      <c r="P19" s="13" t="str">
        <f aca="false">IF(I19="","",IF($B$4="Privat",0,Gebühren!$B$23/MAX(1,$B$9)))</f>
        <v/>
      </c>
      <c r="Q19" s="13" t="str">
        <f aca="false">IF(I19="","",L19*IF(J19="",$B$8,J19))</f>
        <v/>
      </c>
      <c r="R19" s="13" t="str">
        <f aca="false">IF(I19="","",N19+O19+P19+Q19)</f>
        <v/>
      </c>
      <c r="S19" s="13" t="str">
        <f aca="false">IF(I19="","",IF($B$6="Ja",0,R19*0.19))</f>
        <v/>
      </c>
      <c r="T19" s="13" t="str">
        <f aca="false">IF(I19="","",L19-L19/(1+$B$5))</f>
        <v/>
      </c>
      <c r="U19" s="13" t="str">
        <f aca="false">IF(I19="","",D19+E19+F19+G19)</f>
        <v/>
      </c>
      <c r="V19" s="13" t="str">
        <f aca="false">IF(I19="","",U19*K19)</f>
        <v/>
      </c>
      <c r="W19" s="13" t="str">
        <f aca="false">IF(I19="","",L19-R19-S19-T19-U19-V19)</f>
        <v/>
      </c>
      <c r="X19" s="15" t="str">
        <f aca="false">IF(I19="","",IF(L19=0,0,W19/L19))</f>
        <v/>
      </c>
      <c r="Y19" s="15" t="str">
        <f aca="false">IF(I19="","",IF(D19=0,0,W19/D19))</f>
        <v/>
      </c>
      <c r="Z19" s="13" t="str">
        <f aca="false">IF(I19="","",IF(1-((M19+IF(J19="",$B$8,J19))*(1+IF($B$6="Ja",0,0.19))+$B$5/(1+$B$5))&lt;=0,"n/a",((O19+P19)*(1+IF($B$6="Ja",0,0.19))+U19+V19)/(1-((M19+IF(J19="",$B$8,J19))*(1+IF($B$6="Ja",0,0.19))+$B$5/(1+$B$5)))-H19))</f>
        <v/>
      </c>
      <c r="AA19" s="13" t="str">
        <f aca="false">IF(I19="","",IF(1-((M19+IF(J19="",$B$8,J19))*(1+IF($B$6="Ja",0,0.19))+$B$5/(1+$B$5))-$B$7&lt;=0,"n/a",((O19+P19)*(1+IF($B$6="Ja",0,0.19))+U19+V19)/(1-((M19+IF(J19="",$B$8,J19))*(1+IF($B$6="Ja",0,0.19))+$B$5/(1+$B$5))-$B$7)-H19))</f>
        <v/>
      </c>
      <c r="AB19" s="16" t="str">
        <f aca="false">IF(I19="","",IF(W19&lt;0,"Verlust",IF(X19&lt;$B$7,"unter Wunschmarge","ok")))</f>
        <v/>
      </c>
    </row>
    <row r="20" customFormat="false" ht="15" hidden="false" customHeight="false" outlineLevel="0" collapsed="false">
      <c r="A20" s="10" t="n">
        <v>8</v>
      </c>
      <c r="B20" s="10"/>
      <c r="C20" s="10"/>
      <c r="D20" s="11"/>
      <c r="E20" s="11"/>
      <c r="F20" s="11"/>
      <c r="G20" s="11"/>
      <c r="H20" s="11"/>
      <c r="I20" s="11"/>
      <c r="J20" s="12"/>
      <c r="K20" s="12"/>
      <c r="L20" s="13" t="str">
        <f aca="false">IF(I20="","",I20+H20)</f>
        <v/>
      </c>
      <c r="M20" s="14" t="str">
        <f aca="false">IF(I20="","",IF($B$4="Privat",0,IFERROR(INDEX(Gebühren!$B$2:$B$18,MATCH(C20,Gebühren!$A$2:$A$18,0)),0.14)))</f>
        <v/>
      </c>
      <c r="N20" s="13" t="str">
        <f aca="false">IF(I20="","",IF($B$4="Privat",0,IF(OR(IFERROR(INDEX(Gebühren!$C$2:$C$18,MATCH(C20,Gebühren!$A$2:$A$18,0)),0)=0,L20&lt;=IFERROR(INDEX(Gebühren!$C$2:$C$18,MATCH(C20,Gebühren!$A$2:$A$18,0)),0)),L20*M20,INDEX(Gebühren!$C$2:$C$18,MATCH(C20,Gebühren!$A$2:$A$18,0))*M20+(L20-INDEX(Gebühren!$C$2:$C$18,MATCH(C20,Gebühren!$A$2:$A$18,0)))*IFERROR(INDEX(Gebühren!$D$2:$D$18,MATCH(C20,Gebühren!$A$2:$A$18,0)),0.03))))</f>
        <v/>
      </c>
      <c r="O20" s="13" t="str">
        <f aca="false">IF(I20="","",IF($B$4="Privat",0,IF(L20&lt;=10,Gebühren!$B$21,Gebühren!$B$22)))</f>
        <v/>
      </c>
      <c r="P20" s="13" t="str">
        <f aca="false">IF(I20="","",IF($B$4="Privat",0,Gebühren!$B$23/MAX(1,$B$9)))</f>
        <v/>
      </c>
      <c r="Q20" s="13" t="str">
        <f aca="false">IF(I20="","",L20*IF(J20="",$B$8,J20))</f>
        <v/>
      </c>
      <c r="R20" s="13" t="str">
        <f aca="false">IF(I20="","",N20+O20+P20+Q20)</f>
        <v/>
      </c>
      <c r="S20" s="13" t="str">
        <f aca="false">IF(I20="","",IF($B$6="Ja",0,R20*0.19))</f>
        <v/>
      </c>
      <c r="T20" s="13" t="str">
        <f aca="false">IF(I20="","",L20-L20/(1+$B$5))</f>
        <v/>
      </c>
      <c r="U20" s="13" t="str">
        <f aca="false">IF(I20="","",D20+E20+F20+G20)</f>
        <v/>
      </c>
      <c r="V20" s="13" t="str">
        <f aca="false">IF(I20="","",U20*K20)</f>
        <v/>
      </c>
      <c r="W20" s="13" t="str">
        <f aca="false">IF(I20="","",L20-R20-S20-T20-U20-V20)</f>
        <v/>
      </c>
      <c r="X20" s="15" t="str">
        <f aca="false">IF(I20="","",IF(L20=0,0,W20/L20))</f>
        <v/>
      </c>
      <c r="Y20" s="15" t="str">
        <f aca="false">IF(I20="","",IF(D20=0,0,W20/D20))</f>
        <v/>
      </c>
      <c r="Z20" s="13" t="str">
        <f aca="false">IF(I20="","",IF(1-((M20+IF(J20="",$B$8,J20))*(1+IF($B$6="Ja",0,0.19))+$B$5/(1+$B$5))&lt;=0,"n/a",((O20+P20)*(1+IF($B$6="Ja",0,0.19))+U20+V20)/(1-((M20+IF(J20="",$B$8,J20))*(1+IF($B$6="Ja",0,0.19))+$B$5/(1+$B$5)))-H20))</f>
        <v/>
      </c>
      <c r="AA20" s="13" t="str">
        <f aca="false">IF(I20="","",IF(1-((M20+IF(J20="",$B$8,J20))*(1+IF($B$6="Ja",0,0.19))+$B$5/(1+$B$5))-$B$7&lt;=0,"n/a",((O20+P20)*(1+IF($B$6="Ja",0,0.19))+U20+V20)/(1-((M20+IF(J20="",$B$8,J20))*(1+IF($B$6="Ja",0,0.19))+$B$5/(1+$B$5))-$B$7)-H20))</f>
        <v/>
      </c>
      <c r="AB20" s="16" t="str">
        <f aca="false">IF(I20="","",IF(W20&lt;0,"Verlust",IF(X20&lt;$B$7,"unter Wunschmarge","ok")))</f>
        <v/>
      </c>
    </row>
    <row r="21" customFormat="false" ht="15" hidden="false" customHeight="false" outlineLevel="0" collapsed="false">
      <c r="A21" s="10" t="n">
        <v>9</v>
      </c>
      <c r="B21" s="10"/>
      <c r="C21" s="10"/>
      <c r="D21" s="11"/>
      <c r="E21" s="11"/>
      <c r="F21" s="11"/>
      <c r="G21" s="11"/>
      <c r="H21" s="11"/>
      <c r="I21" s="11"/>
      <c r="J21" s="12"/>
      <c r="K21" s="12"/>
      <c r="L21" s="13" t="str">
        <f aca="false">IF(I21="","",I21+H21)</f>
        <v/>
      </c>
      <c r="M21" s="14" t="str">
        <f aca="false">IF(I21="","",IF($B$4="Privat",0,IFERROR(INDEX(Gebühren!$B$2:$B$18,MATCH(C21,Gebühren!$A$2:$A$18,0)),0.14)))</f>
        <v/>
      </c>
      <c r="N21" s="13" t="str">
        <f aca="false">IF(I21="","",IF($B$4="Privat",0,IF(OR(IFERROR(INDEX(Gebühren!$C$2:$C$18,MATCH(C21,Gebühren!$A$2:$A$18,0)),0)=0,L21&lt;=IFERROR(INDEX(Gebühren!$C$2:$C$18,MATCH(C21,Gebühren!$A$2:$A$18,0)),0)),L21*M21,INDEX(Gebühren!$C$2:$C$18,MATCH(C21,Gebühren!$A$2:$A$18,0))*M21+(L21-INDEX(Gebühren!$C$2:$C$18,MATCH(C21,Gebühren!$A$2:$A$18,0)))*IFERROR(INDEX(Gebühren!$D$2:$D$18,MATCH(C21,Gebühren!$A$2:$A$18,0)),0.03))))</f>
        <v/>
      </c>
      <c r="O21" s="13" t="str">
        <f aca="false">IF(I21="","",IF($B$4="Privat",0,IF(L21&lt;=10,Gebühren!$B$21,Gebühren!$B$22)))</f>
        <v/>
      </c>
      <c r="P21" s="13" t="str">
        <f aca="false">IF(I21="","",IF($B$4="Privat",0,Gebühren!$B$23/MAX(1,$B$9)))</f>
        <v/>
      </c>
      <c r="Q21" s="13" t="str">
        <f aca="false">IF(I21="","",L21*IF(J21="",$B$8,J21))</f>
        <v/>
      </c>
      <c r="R21" s="13" t="str">
        <f aca="false">IF(I21="","",N21+O21+P21+Q21)</f>
        <v/>
      </c>
      <c r="S21" s="13" t="str">
        <f aca="false">IF(I21="","",IF($B$6="Ja",0,R21*0.19))</f>
        <v/>
      </c>
      <c r="T21" s="13" t="str">
        <f aca="false">IF(I21="","",L21-L21/(1+$B$5))</f>
        <v/>
      </c>
      <c r="U21" s="13" t="str">
        <f aca="false">IF(I21="","",D21+E21+F21+G21)</f>
        <v/>
      </c>
      <c r="V21" s="13" t="str">
        <f aca="false">IF(I21="","",U21*K21)</f>
        <v/>
      </c>
      <c r="W21" s="13" t="str">
        <f aca="false">IF(I21="","",L21-R21-S21-T21-U21-V21)</f>
        <v/>
      </c>
      <c r="X21" s="15" t="str">
        <f aca="false">IF(I21="","",IF(L21=0,0,W21/L21))</f>
        <v/>
      </c>
      <c r="Y21" s="15" t="str">
        <f aca="false">IF(I21="","",IF(D21=0,0,W21/D21))</f>
        <v/>
      </c>
      <c r="Z21" s="13" t="str">
        <f aca="false">IF(I21="","",IF(1-((M21+IF(J21="",$B$8,J21))*(1+IF($B$6="Ja",0,0.19))+$B$5/(1+$B$5))&lt;=0,"n/a",((O21+P21)*(1+IF($B$6="Ja",0,0.19))+U21+V21)/(1-((M21+IF(J21="",$B$8,J21))*(1+IF($B$6="Ja",0,0.19))+$B$5/(1+$B$5)))-H21))</f>
        <v/>
      </c>
      <c r="AA21" s="13" t="str">
        <f aca="false">IF(I21="","",IF(1-((M21+IF(J21="",$B$8,J21))*(1+IF($B$6="Ja",0,0.19))+$B$5/(1+$B$5))-$B$7&lt;=0,"n/a",((O21+P21)*(1+IF($B$6="Ja",0,0.19))+U21+V21)/(1-((M21+IF(J21="",$B$8,J21))*(1+IF($B$6="Ja",0,0.19))+$B$5/(1+$B$5))-$B$7)-H21))</f>
        <v/>
      </c>
      <c r="AB21" s="16" t="str">
        <f aca="false">IF(I21="","",IF(W21&lt;0,"Verlust",IF(X21&lt;$B$7,"unter Wunschmarge","ok")))</f>
        <v/>
      </c>
    </row>
    <row r="22" customFormat="false" ht="15" hidden="false" customHeight="false" outlineLevel="0" collapsed="false">
      <c r="A22" s="10" t="n">
        <v>10</v>
      </c>
      <c r="B22" s="10"/>
      <c r="C22" s="10"/>
      <c r="D22" s="11"/>
      <c r="E22" s="11"/>
      <c r="F22" s="11"/>
      <c r="G22" s="11"/>
      <c r="H22" s="11"/>
      <c r="I22" s="11"/>
      <c r="J22" s="12"/>
      <c r="K22" s="12"/>
      <c r="L22" s="13" t="str">
        <f aca="false">IF(I22="","",I22+H22)</f>
        <v/>
      </c>
      <c r="M22" s="14" t="str">
        <f aca="false">IF(I22="","",IF($B$4="Privat",0,IFERROR(INDEX(Gebühren!$B$2:$B$18,MATCH(C22,Gebühren!$A$2:$A$18,0)),0.14)))</f>
        <v/>
      </c>
      <c r="N22" s="13" t="str">
        <f aca="false">IF(I22="","",IF($B$4="Privat",0,IF(OR(IFERROR(INDEX(Gebühren!$C$2:$C$18,MATCH(C22,Gebühren!$A$2:$A$18,0)),0)=0,L22&lt;=IFERROR(INDEX(Gebühren!$C$2:$C$18,MATCH(C22,Gebühren!$A$2:$A$18,0)),0)),L22*M22,INDEX(Gebühren!$C$2:$C$18,MATCH(C22,Gebühren!$A$2:$A$18,0))*M22+(L22-INDEX(Gebühren!$C$2:$C$18,MATCH(C22,Gebühren!$A$2:$A$18,0)))*IFERROR(INDEX(Gebühren!$D$2:$D$18,MATCH(C22,Gebühren!$A$2:$A$18,0)),0.03))))</f>
        <v/>
      </c>
      <c r="O22" s="13" t="str">
        <f aca="false">IF(I22="","",IF($B$4="Privat",0,IF(L22&lt;=10,Gebühren!$B$21,Gebühren!$B$22)))</f>
        <v/>
      </c>
      <c r="P22" s="13" t="str">
        <f aca="false">IF(I22="","",IF($B$4="Privat",0,Gebühren!$B$23/MAX(1,$B$9)))</f>
        <v/>
      </c>
      <c r="Q22" s="13" t="str">
        <f aca="false">IF(I22="","",L22*IF(J22="",$B$8,J22))</f>
        <v/>
      </c>
      <c r="R22" s="13" t="str">
        <f aca="false">IF(I22="","",N22+O22+P22+Q22)</f>
        <v/>
      </c>
      <c r="S22" s="13" t="str">
        <f aca="false">IF(I22="","",IF($B$6="Ja",0,R22*0.19))</f>
        <v/>
      </c>
      <c r="T22" s="13" t="str">
        <f aca="false">IF(I22="","",L22-L22/(1+$B$5))</f>
        <v/>
      </c>
      <c r="U22" s="13" t="str">
        <f aca="false">IF(I22="","",D22+E22+F22+G22)</f>
        <v/>
      </c>
      <c r="V22" s="13" t="str">
        <f aca="false">IF(I22="","",U22*K22)</f>
        <v/>
      </c>
      <c r="W22" s="13" t="str">
        <f aca="false">IF(I22="","",L22-R22-S22-T22-U22-V22)</f>
        <v/>
      </c>
      <c r="X22" s="15" t="str">
        <f aca="false">IF(I22="","",IF(L22=0,0,W22/L22))</f>
        <v/>
      </c>
      <c r="Y22" s="15" t="str">
        <f aca="false">IF(I22="","",IF(D22=0,0,W22/D22))</f>
        <v/>
      </c>
      <c r="Z22" s="13" t="str">
        <f aca="false">IF(I22="","",IF(1-((M22+IF(J22="",$B$8,J22))*(1+IF($B$6="Ja",0,0.19))+$B$5/(1+$B$5))&lt;=0,"n/a",((O22+P22)*(1+IF($B$6="Ja",0,0.19))+U22+V22)/(1-((M22+IF(J22="",$B$8,J22))*(1+IF($B$6="Ja",0,0.19))+$B$5/(1+$B$5)))-H22))</f>
        <v/>
      </c>
      <c r="AA22" s="13" t="str">
        <f aca="false">IF(I22="","",IF(1-((M22+IF(J22="",$B$8,J22))*(1+IF($B$6="Ja",0,0.19))+$B$5/(1+$B$5))-$B$7&lt;=0,"n/a",((O22+P22)*(1+IF($B$6="Ja",0,0.19))+U22+V22)/(1-((M22+IF(J22="",$B$8,J22))*(1+IF($B$6="Ja",0,0.19))+$B$5/(1+$B$5))-$B$7)-H22))</f>
        <v/>
      </c>
      <c r="AB22" s="16" t="str">
        <f aca="false">IF(I22="","",IF(W22&lt;0,"Verlust",IF(X22&lt;$B$7,"unter Wunschmarge","ok")))</f>
        <v/>
      </c>
    </row>
    <row r="23" customFormat="false" ht="15" hidden="false" customHeight="false" outlineLevel="0" collapsed="false">
      <c r="A23" s="10" t="n">
        <v>11</v>
      </c>
      <c r="B23" s="10"/>
      <c r="C23" s="10"/>
      <c r="D23" s="11"/>
      <c r="E23" s="11"/>
      <c r="F23" s="11"/>
      <c r="G23" s="11"/>
      <c r="H23" s="11"/>
      <c r="I23" s="11"/>
      <c r="J23" s="12"/>
      <c r="K23" s="12"/>
      <c r="L23" s="13" t="str">
        <f aca="false">IF(I23="","",I23+H23)</f>
        <v/>
      </c>
      <c r="M23" s="14" t="str">
        <f aca="false">IF(I23="","",IF($B$4="Privat",0,IFERROR(INDEX(Gebühren!$B$2:$B$18,MATCH(C23,Gebühren!$A$2:$A$18,0)),0.14)))</f>
        <v/>
      </c>
      <c r="N23" s="13" t="str">
        <f aca="false">IF(I23="","",IF($B$4="Privat",0,IF(OR(IFERROR(INDEX(Gebühren!$C$2:$C$18,MATCH(C23,Gebühren!$A$2:$A$18,0)),0)=0,L23&lt;=IFERROR(INDEX(Gebühren!$C$2:$C$18,MATCH(C23,Gebühren!$A$2:$A$18,0)),0)),L23*M23,INDEX(Gebühren!$C$2:$C$18,MATCH(C23,Gebühren!$A$2:$A$18,0))*M23+(L23-INDEX(Gebühren!$C$2:$C$18,MATCH(C23,Gebühren!$A$2:$A$18,0)))*IFERROR(INDEX(Gebühren!$D$2:$D$18,MATCH(C23,Gebühren!$A$2:$A$18,0)),0.03))))</f>
        <v/>
      </c>
      <c r="O23" s="13" t="str">
        <f aca="false">IF(I23="","",IF($B$4="Privat",0,IF(L23&lt;=10,Gebühren!$B$21,Gebühren!$B$22)))</f>
        <v/>
      </c>
      <c r="P23" s="13" t="str">
        <f aca="false">IF(I23="","",IF($B$4="Privat",0,Gebühren!$B$23/MAX(1,$B$9)))</f>
        <v/>
      </c>
      <c r="Q23" s="13" t="str">
        <f aca="false">IF(I23="","",L23*IF(J23="",$B$8,J23))</f>
        <v/>
      </c>
      <c r="R23" s="13" t="str">
        <f aca="false">IF(I23="","",N23+O23+P23+Q23)</f>
        <v/>
      </c>
      <c r="S23" s="13" t="str">
        <f aca="false">IF(I23="","",IF($B$6="Ja",0,R23*0.19))</f>
        <v/>
      </c>
      <c r="T23" s="13" t="str">
        <f aca="false">IF(I23="","",L23-L23/(1+$B$5))</f>
        <v/>
      </c>
      <c r="U23" s="13" t="str">
        <f aca="false">IF(I23="","",D23+E23+F23+G23)</f>
        <v/>
      </c>
      <c r="V23" s="13" t="str">
        <f aca="false">IF(I23="","",U23*K23)</f>
        <v/>
      </c>
      <c r="W23" s="13" t="str">
        <f aca="false">IF(I23="","",L23-R23-S23-T23-U23-V23)</f>
        <v/>
      </c>
      <c r="X23" s="15" t="str">
        <f aca="false">IF(I23="","",IF(L23=0,0,W23/L23))</f>
        <v/>
      </c>
      <c r="Y23" s="15" t="str">
        <f aca="false">IF(I23="","",IF(D23=0,0,W23/D23))</f>
        <v/>
      </c>
      <c r="Z23" s="13" t="str">
        <f aca="false">IF(I23="","",IF(1-((M23+IF(J23="",$B$8,J23))*(1+IF($B$6="Ja",0,0.19))+$B$5/(1+$B$5))&lt;=0,"n/a",((O23+P23)*(1+IF($B$6="Ja",0,0.19))+U23+V23)/(1-((M23+IF(J23="",$B$8,J23))*(1+IF($B$6="Ja",0,0.19))+$B$5/(1+$B$5)))-H23))</f>
        <v/>
      </c>
      <c r="AA23" s="13" t="str">
        <f aca="false">IF(I23="","",IF(1-((M23+IF(J23="",$B$8,J23))*(1+IF($B$6="Ja",0,0.19))+$B$5/(1+$B$5))-$B$7&lt;=0,"n/a",((O23+P23)*(1+IF($B$6="Ja",0,0.19))+U23+V23)/(1-((M23+IF(J23="",$B$8,J23))*(1+IF($B$6="Ja",0,0.19))+$B$5/(1+$B$5))-$B$7)-H23))</f>
        <v/>
      </c>
      <c r="AB23" s="16" t="str">
        <f aca="false">IF(I23="","",IF(W23&lt;0,"Verlust",IF(X23&lt;$B$7,"unter Wunschmarge","ok")))</f>
        <v/>
      </c>
    </row>
    <row r="24" customFormat="false" ht="15" hidden="false" customHeight="false" outlineLevel="0" collapsed="false">
      <c r="A24" s="10" t="n">
        <v>12</v>
      </c>
      <c r="B24" s="10"/>
      <c r="C24" s="10"/>
      <c r="D24" s="11"/>
      <c r="E24" s="11"/>
      <c r="F24" s="11"/>
      <c r="G24" s="11"/>
      <c r="H24" s="11"/>
      <c r="I24" s="11"/>
      <c r="J24" s="12"/>
      <c r="K24" s="12"/>
      <c r="L24" s="13" t="str">
        <f aca="false">IF(I24="","",I24+H24)</f>
        <v/>
      </c>
      <c r="M24" s="14" t="str">
        <f aca="false">IF(I24="","",IF($B$4="Privat",0,IFERROR(INDEX(Gebühren!$B$2:$B$18,MATCH(C24,Gebühren!$A$2:$A$18,0)),0.14)))</f>
        <v/>
      </c>
      <c r="N24" s="13" t="str">
        <f aca="false">IF(I24="","",IF($B$4="Privat",0,IF(OR(IFERROR(INDEX(Gebühren!$C$2:$C$18,MATCH(C24,Gebühren!$A$2:$A$18,0)),0)=0,L24&lt;=IFERROR(INDEX(Gebühren!$C$2:$C$18,MATCH(C24,Gebühren!$A$2:$A$18,0)),0)),L24*M24,INDEX(Gebühren!$C$2:$C$18,MATCH(C24,Gebühren!$A$2:$A$18,0))*M24+(L24-INDEX(Gebühren!$C$2:$C$18,MATCH(C24,Gebühren!$A$2:$A$18,0)))*IFERROR(INDEX(Gebühren!$D$2:$D$18,MATCH(C24,Gebühren!$A$2:$A$18,0)),0.03))))</f>
        <v/>
      </c>
      <c r="O24" s="13" t="str">
        <f aca="false">IF(I24="","",IF($B$4="Privat",0,IF(L24&lt;=10,Gebühren!$B$21,Gebühren!$B$22)))</f>
        <v/>
      </c>
      <c r="P24" s="13" t="str">
        <f aca="false">IF(I24="","",IF($B$4="Privat",0,Gebühren!$B$23/MAX(1,$B$9)))</f>
        <v/>
      </c>
      <c r="Q24" s="13" t="str">
        <f aca="false">IF(I24="","",L24*IF(J24="",$B$8,J24))</f>
        <v/>
      </c>
      <c r="R24" s="13" t="str">
        <f aca="false">IF(I24="","",N24+O24+P24+Q24)</f>
        <v/>
      </c>
      <c r="S24" s="13" t="str">
        <f aca="false">IF(I24="","",IF($B$6="Ja",0,R24*0.19))</f>
        <v/>
      </c>
      <c r="T24" s="13" t="str">
        <f aca="false">IF(I24="","",L24-L24/(1+$B$5))</f>
        <v/>
      </c>
      <c r="U24" s="13" t="str">
        <f aca="false">IF(I24="","",D24+E24+F24+G24)</f>
        <v/>
      </c>
      <c r="V24" s="13" t="str">
        <f aca="false">IF(I24="","",U24*K24)</f>
        <v/>
      </c>
      <c r="W24" s="13" t="str">
        <f aca="false">IF(I24="","",L24-R24-S24-T24-U24-V24)</f>
        <v/>
      </c>
      <c r="X24" s="15" t="str">
        <f aca="false">IF(I24="","",IF(L24=0,0,W24/L24))</f>
        <v/>
      </c>
      <c r="Y24" s="15" t="str">
        <f aca="false">IF(I24="","",IF(D24=0,0,W24/D24))</f>
        <v/>
      </c>
      <c r="Z24" s="13" t="str">
        <f aca="false">IF(I24="","",IF(1-((M24+IF(J24="",$B$8,J24))*(1+IF($B$6="Ja",0,0.19))+$B$5/(1+$B$5))&lt;=0,"n/a",((O24+P24)*(1+IF($B$6="Ja",0,0.19))+U24+V24)/(1-((M24+IF(J24="",$B$8,J24))*(1+IF($B$6="Ja",0,0.19))+$B$5/(1+$B$5)))-H24))</f>
        <v/>
      </c>
      <c r="AA24" s="13" t="str">
        <f aca="false">IF(I24="","",IF(1-((M24+IF(J24="",$B$8,J24))*(1+IF($B$6="Ja",0,0.19))+$B$5/(1+$B$5))-$B$7&lt;=0,"n/a",((O24+P24)*(1+IF($B$6="Ja",0,0.19))+U24+V24)/(1-((M24+IF(J24="",$B$8,J24))*(1+IF($B$6="Ja",0,0.19))+$B$5/(1+$B$5))-$B$7)-H24))</f>
        <v/>
      </c>
      <c r="AB24" s="16" t="str">
        <f aca="false">IF(I24="","",IF(W24&lt;0,"Verlust",IF(X24&lt;$B$7,"unter Wunschmarge","ok")))</f>
        <v/>
      </c>
    </row>
    <row r="25" customFormat="false" ht="15" hidden="false" customHeight="false" outlineLevel="0" collapsed="false">
      <c r="A25" s="10" t="n">
        <v>13</v>
      </c>
      <c r="B25" s="10"/>
      <c r="C25" s="10"/>
      <c r="D25" s="11"/>
      <c r="E25" s="11"/>
      <c r="F25" s="11"/>
      <c r="G25" s="11"/>
      <c r="H25" s="11"/>
      <c r="I25" s="11"/>
      <c r="J25" s="12"/>
      <c r="K25" s="12"/>
      <c r="L25" s="13" t="str">
        <f aca="false">IF(I25="","",I25+H25)</f>
        <v/>
      </c>
      <c r="M25" s="14" t="str">
        <f aca="false">IF(I25="","",IF($B$4="Privat",0,IFERROR(INDEX(Gebühren!$B$2:$B$18,MATCH(C25,Gebühren!$A$2:$A$18,0)),0.14)))</f>
        <v/>
      </c>
      <c r="N25" s="13" t="str">
        <f aca="false">IF(I25="","",IF($B$4="Privat",0,IF(OR(IFERROR(INDEX(Gebühren!$C$2:$C$18,MATCH(C25,Gebühren!$A$2:$A$18,0)),0)=0,L25&lt;=IFERROR(INDEX(Gebühren!$C$2:$C$18,MATCH(C25,Gebühren!$A$2:$A$18,0)),0)),L25*M25,INDEX(Gebühren!$C$2:$C$18,MATCH(C25,Gebühren!$A$2:$A$18,0))*M25+(L25-INDEX(Gebühren!$C$2:$C$18,MATCH(C25,Gebühren!$A$2:$A$18,0)))*IFERROR(INDEX(Gebühren!$D$2:$D$18,MATCH(C25,Gebühren!$A$2:$A$18,0)),0.03))))</f>
        <v/>
      </c>
      <c r="O25" s="13" t="str">
        <f aca="false">IF(I25="","",IF($B$4="Privat",0,IF(L25&lt;=10,Gebühren!$B$21,Gebühren!$B$22)))</f>
        <v/>
      </c>
      <c r="P25" s="13" t="str">
        <f aca="false">IF(I25="","",IF($B$4="Privat",0,Gebühren!$B$23/MAX(1,$B$9)))</f>
        <v/>
      </c>
      <c r="Q25" s="13" t="str">
        <f aca="false">IF(I25="","",L25*IF(J25="",$B$8,J25))</f>
        <v/>
      </c>
      <c r="R25" s="13" t="str">
        <f aca="false">IF(I25="","",N25+O25+P25+Q25)</f>
        <v/>
      </c>
      <c r="S25" s="13" t="str">
        <f aca="false">IF(I25="","",IF($B$6="Ja",0,R25*0.19))</f>
        <v/>
      </c>
      <c r="T25" s="13" t="str">
        <f aca="false">IF(I25="","",L25-L25/(1+$B$5))</f>
        <v/>
      </c>
      <c r="U25" s="13" t="str">
        <f aca="false">IF(I25="","",D25+E25+F25+G25)</f>
        <v/>
      </c>
      <c r="V25" s="13" t="str">
        <f aca="false">IF(I25="","",U25*K25)</f>
        <v/>
      </c>
      <c r="W25" s="13" t="str">
        <f aca="false">IF(I25="","",L25-R25-S25-T25-U25-V25)</f>
        <v/>
      </c>
      <c r="X25" s="15" t="str">
        <f aca="false">IF(I25="","",IF(L25=0,0,W25/L25))</f>
        <v/>
      </c>
      <c r="Y25" s="15" t="str">
        <f aca="false">IF(I25="","",IF(D25=0,0,W25/D25))</f>
        <v/>
      </c>
      <c r="Z25" s="13" t="str">
        <f aca="false">IF(I25="","",IF(1-((M25+IF(J25="",$B$8,J25))*(1+IF($B$6="Ja",0,0.19))+$B$5/(1+$B$5))&lt;=0,"n/a",((O25+P25)*(1+IF($B$6="Ja",0,0.19))+U25+V25)/(1-((M25+IF(J25="",$B$8,J25))*(1+IF($B$6="Ja",0,0.19))+$B$5/(1+$B$5)))-H25))</f>
        <v/>
      </c>
      <c r="AA25" s="13" t="str">
        <f aca="false">IF(I25="","",IF(1-((M25+IF(J25="",$B$8,J25))*(1+IF($B$6="Ja",0,0.19))+$B$5/(1+$B$5))-$B$7&lt;=0,"n/a",((O25+P25)*(1+IF($B$6="Ja",0,0.19))+U25+V25)/(1-((M25+IF(J25="",$B$8,J25))*(1+IF($B$6="Ja",0,0.19))+$B$5/(1+$B$5))-$B$7)-H25))</f>
        <v/>
      </c>
      <c r="AB25" s="16" t="str">
        <f aca="false">IF(I25="","",IF(W25&lt;0,"Verlust",IF(X25&lt;$B$7,"unter Wunschmarge","ok")))</f>
        <v/>
      </c>
    </row>
    <row r="26" customFormat="false" ht="15" hidden="false" customHeight="false" outlineLevel="0" collapsed="false">
      <c r="A26" s="10" t="n">
        <v>14</v>
      </c>
      <c r="B26" s="10"/>
      <c r="C26" s="10"/>
      <c r="D26" s="11"/>
      <c r="E26" s="11"/>
      <c r="F26" s="11"/>
      <c r="G26" s="11"/>
      <c r="H26" s="11"/>
      <c r="I26" s="11"/>
      <c r="J26" s="12"/>
      <c r="K26" s="12"/>
      <c r="L26" s="13" t="str">
        <f aca="false">IF(I26="","",I26+H26)</f>
        <v/>
      </c>
      <c r="M26" s="14" t="str">
        <f aca="false">IF(I26="","",IF($B$4="Privat",0,IFERROR(INDEX(Gebühren!$B$2:$B$18,MATCH(C26,Gebühren!$A$2:$A$18,0)),0.14)))</f>
        <v/>
      </c>
      <c r="N26" s="13" t="str">
        <f aca="false">IF(I26="","",IF($B$4="Privat",0,IF(OR(IFERROR(INDEX(Gebühren!$C$2:$C$18,MATCH(C26,Gebühren!$A$2:$A$18,0)),0)=0,L26&lt;=IFERROR(INDEX(Gebühren!$C$2:$C$18,MATCH(C26,Gebühren!$A$2:$A$18,0)),0)),L26*M26,INDEX(Gebühren!$C$2:$C$18,MATCH(C26,Gebühren!$A$2:$A$18,0))*M26+(L26-INDEX(Gebühren!$C$2:$C$18,MATCH(C26,Gebühren!$A$2:$A$18,0)))*IFERROR(INDEX(Gebühren!$D$2:$D$18,MATCH(C26,Gebühren!$A$2:$A$18,0)),0.03))))</f>
        <v/>
      </c>
      <c r="O26" s="13" t="str">
        <f aca="false">IF(I26="","",IF($B$4="Privat",0,IF(L26&lt;=10,Gebühren!$B$21,Gebühren!$B$22)))</f>
        <v/>
      </c>
      <c r="P26" s="13" t="str">
        <f aca="false">IF(I26="","",IF($B$4="Privat",0,Gebühren!$B$23/MAX(1,$B$9)))</f>
        <v/>
      </c>
      <c r="Q26" s="13" t="str">
        <f aca="false">IF(I26="","",L26*IF(J26="",$B$8,J26))</f>
        <v/>
      </c>
      <c r="R26" s="13" t="str">
        <f aca="false">IF(I26="","",N26+O26+P26+Q26)</f>
        <v/>
      </c>
      <c r="S26" s="13" t="str">
        <f aca="false">IF(I26="","",IF($B$6="Ja",0,R26*0.19))</f>
        <v/>
      </c>
      <c r="T26" s="13" t="str">
        <f aca="false">IF(I26="","",L26-L26/(1+$B$5))</f>
        <v/>
      </c>
      <c r="U26" s="13" t="str">
        <f aca="false">IF(I26="","",D26+E26+F26+G26)</f>
        <v/>
      </c>
      <c r="V26" s="13" t="str">
        <f aca="false">IF(I26="","",U26*K26)</f>
        <v/>
      </c>
      <c r="W26" s="13" t="str">
        <f aca="false">IF(I26="","",L26-R26-S26-T26-U26-V26)</f>
        <v/>
      </c>
      <c r="X26" s="15" t="str">
        <f aca="false">IF(I26="","",IF(L26=0,0,W26/L26))</f>
        <v/>
      </c>
      <c r="Y26" s="15" t="str">
        <f aca="false">IF(I26="","",IF(D26=0,0,W26/D26))</f>
        <v/>
      </c>
      <c r="Z26" s="13" t="str">
        <f aca="false">IF(I26="","",IF(1-((M26+IF(J26="",$B$8,J26))*(1+IF($B$6="Ja",0,0.19))+$B$5/(1+$B$5))&lt;=0,"n/a",((O26+P26)*(1+IF($B$6="Ja",0,0.19))+U26+V26)/(1-((M26+IF(J26="",$B$8,J26))*(1+IF($B$6="Ja",0,0.19))+$B$5/(1+$B$5)))-H26))</f>
        <v/>
      </c>
      <c r="AA26" s="13" t="str">
        <f aca="false">IF(I26="","",IF(1-((M26+IF(J26="",$B$8,J26))*(1+IF($B$6="Ja",0,0.19))+$B$5/(1+$B$5))-$B$7&lt;=0,"n/a",((O26+P26)*(1+IF($B$6="Ja",0,0.19))+U26+V26)/(1-((M26+IF(J26="",$B$8,J26))*(1+IF($B$6="Ja",0,0.19))+$B$5/(1+$B$5))-$B$7)-H26))</f>
        <v/>
      </c>
      <c r="AB26" s="16" t="str">
        <f aca="false">IF(I26="","",IF(W26&lt;0,"Verlust",IF(X26&lt;$B$7,"unter Wunschmarge","ok")))</f>
        <v/>
      </c>
    </row>
    <row r="27" customFormat="false" ht="15" hidden="false" customHeight="false" outlineLevel="0" collapsed="false">
      <c r="A27" s="10" t="n">
        <v>15</v>
      </c>
      <c r="B27" s="10"/>
      <c r="C27" s="10"/>
      <c r="D27" s="11"/>
      <c r="E27" s="11"/>
      <c r="F27" s="11"/>
      <c r="G27" s="11"/>
      <c r="H27" s="11"/>
      <c r="I27" s="11"/>
      <c r="J27" s="12"/>
      <c r="K27" s="12"/>
      <c r="L27" s="13" t="str">
        <f aca="false">IF(I27="","",I27+H27)</f>
        <v/>
      </c>
      <c r="M27" s="14" t="str">
        <f aca="false">IF(I27="","",IF($B$4="Privat",0,IFERROR(INDEX(Gebühren!$B$2:$B$18,MATCH(C27,Gebühren!$A$2:$A$18,0)),0.14)))</f>
        <v/>
      </c>
      <c r="N27" s="13" t="str">
        <f aca="false">IF(I27="","",IF($B$4="Privat",0,IF(OR(IFERROR(INDEX(Gebühren!$C$2:$C$18,MATCH(C27,Gebühren!$A$2:$A$18,0)),0)=0,L27&lt;=IFERROR(INDEX(Gebühren!$C$2:$C$18,MATCH(C27,Gebühren!$A$2:$A$18,0)),0)),L27*M27,INDEX(Gebühren!$C$2:$C$18,MATCH(C27,Gebühren!$A$2:$A$18,0))*M27+(L27-INDEX(Gebühren!$C$2:$C$18,MATCH(C27,Gebühren!$A$2:$A$18,0)))*IFERROR(INDEX(Gebühren!$D$2:$D$18,MATCH(C27,Gebühren!$A$2:$A$18,0)),0.03))))</f>
        <v/>
      </c>
      <c r="O27" s="13" t="str">
        <f aca="false">IF(I27="","",IF($B$4="Privat",0,IF(L27&lt;=10,Gebühren!$B$21,Gebühren!$B$22)))</f>
        <v/>
      </c>
      <c r="P27" s="13" t="str">
        <f aca="false">IF(I27="","",IF($B$4="Privat",0,Gebühren!$B$23/MAX(1,$B$9)))</f>
        <v/>
      </c>
      <c r="Q27" s="13" t="str">
        <f aca="false">IF(I27="","",L27*IF(J27="",$B$8,J27))</f>
        <v/>
      </c>
      <c r="R27" s="13" t="str">
        <f aca="false">IF(I27="","",N27+O27+P27+Q27)</f>
        <v/>
      </c>
      <c r="S27" s="13" t="str">
        <f aca="false">IF(I27="","",IF($B$6="Ja",0,R27*0.19))</f>
        <v/>
      </c>
      <c r="T27" s="13" t="str">
        <f aca="false">IF(I27="","",L27-L27/(1+$B$5))</f>
        <v/>
      </c>
      <c r="U27" s="13" t="str">
        <f aca="false">IF(I27="","",D27+E27+F27+G27)</f>
        <v/>
      </c>
      <c r="V27" s="13" t="str">
        <f aca="false">IF(I27="","",U27*K27)</f>
        <v/>
      </c>
      <c r="W27" s="13" t="str">
        <f aca="false">IF(I27="","",L27-R27-S27-T27-U27-V27)</f>
        <v/>
      </c>
      <c r="X27" s="15" t="str">
        <f aca="false">IF(I27="","",IF(L27=0,0,W27/L27))</f>
        <v/>
      </c>
      <c r="Y27" s="15" t="str">
        <f aca="false">IF(I27="","",IF(D27=0,0,W27/D27))</f>
        <v/>
      </c>
      <c r="Z27" s="13" t="str">
        <f aca="false">IF(I27="","",IF(1-((M27+IF(J27="",$B$8,J27))*(1+IF($B$6="Ja",0,0.19))+$B$5/(1+$B$5))&lt;=0,"n/a",((O27+P27)*(1+IF($B$6="Ja",0,0.19))+U27+V27)/(1-((M27+IF(J27="",$B$8,J27))*(1+IF($B$6="Ja",0,0.19))+$B$5/(1+$B$5)))-H27))</f>
        <v/>
      </c>
      <c r="AA27" s="13" t="str">
        <f aca="false">IF(I27="","",IF(1-((M27+IF(J27="",$B$8,J27))*(1+IF($B$6="Ja",0,0.19))+$B$5/(1+$B$5))-$B$7&lt;=0,"n/a",((O27+P27)*(1+IF($B$6="Ja",0,0.19))+U27+V27)/(1-((M27+IF(J27="",$B$8,J27))*(1+IF($B$6="Ja",0,0.19))+$B$5/(1+$B$5))-$B$7)-H27))</f>
        <v/>
      </c>
      <c r="AB27" s="16" t="str">
        <f aca="false">IF(I27="","",IF(W27&lt;0,"Verlust",IF(X27&lt;$B$7,"unter Wunschmarge","ok")))</f>
        <v/>
      </c>
    </row>
    <row r="28" customFormat="false" ht="15" hidden="false" customHeight="false" outlineLevel="0" collapsed="false">
      <c r="A28" s="10" t="n">
        <v>16</v>
      </c>
      <c r="B28" s="10"/>
      <c r="C28" s="10"/>
      <c r="D28" s="11"/>
      <c r="E28" s="11"/>
      <c r="F28" s="11"/>
      <c r="G28" s="11"/>
      <c r="H28" s="11"/>
      <c r="I28" s="11"/>
      <c r="J28" s="12"/>
      <c r="K28" s="12"/>
      <c r="L28" s="13" t="str">
        <f aca="false">IF(I28="","",I28+H28)</f>
        <v/>
      </c>
      <c r="M28" s="14" t="str">
        <f aca="false">IF(I28="","",IF($B$4="Privat",0,IFERROR(INDEX(Gebühren!$B$2:$B$18,MATCH(C28,Gebühren!$A$2:$A$18,0)),0.14)))</f>
        <v/>
      </c>
      <c r="N28" s="13" t="str">
        <f aca="false">IF(I28="","",IF($B$4="Privat",0,IF(OR(IFERROR(INDEX(Gebühren!$C$2:$C$18,MATCH(C28,Gebühren!$A$2:$A$18,0)),0)=0,L28&lt;=IFERROR(INDEX(Gebühren!$C$2:$C$18,MATCH(C28,Gebühren!$A$2:$A$18,0)),0)),L28*M28,INDEX(Gebühren!$C$2:$C$18,MATCH(C28,Gebühren!$A$2:$A$18,0))*M28+(L28-INDEX(Gebühren!$C$2:$C$18,MATCH(C28,Gebühren!$A$2:$A$18,0)))*IFERROR(INDEX(Gebühren!$D$2:$D$18,MATCH(C28,Gebühren!$A$2:$A$18,0)),0.03))))</f>
        <v/>
      </c>
      <c r="O28" s="13" t="str">
        <f aca="false">IF(I28="","",IF($B$4="Privat",0,IF(L28&lt;=10,Gebühren!$B$21,Gebühren!$B$22)))</f>
        <v/>
      </c>
      <c r="P28" s="13" t="str">
        <f aca="false">IF(I28="","",IF($B$4="Privat",0,Gebühren!$B$23/MAX(1,$B$9)))</f>
        <v/>
      </c>
      <c r="Q28" s="13" t="str">
        <f aca="false">IF(I28="","",L28*IF(J28="",$B$8,J28))</f>
        <v/>
      </c>
      <c r="R28" s="13" t="str">
        <f aca="false">IF(I28="","",N28+O28+P28+Q28)</f>
        <v/>
      </c>
      <c r="S28" s="13" t="str">
        <f aca="false">IF(I28="","",IF($B$6="Ja",0,R28*0.19))</f>
        <v/>
      </c>
      <c r="T28" s="13" t="str">
        <f aca="false">IF(I28="","",L28-L28/(1+$B$5))</f>
        <v/>
      </c>
      <c r="U28" s="13" t="str">
        <f aca="false">IF(I28="","",D28+E28+F28+G28)</f>
        <v/>
      </c>
      <c r="V28" s="13" t="str">
        <f aca="false">IF(I28="","",U28*K28)</f>
        <v/>
      </c>
      <c r="W28" s="13" t="str">
        <f aca="false">IF(I28="","",L28-R28-S28-T28-U28-V28)</f>
        <v/>
      </c>
      <c r="X28" s="15" t="str">
        <f aca="false">IF(I28="","",IF(L28=0,0,W28/L28))</f>
        <v/>
      </c>
      <c r="Y28" s="15" t="str">
        <f aca="false">IF(I28="","",IF(D28=0,0,W28/D28))</f>
        <v/>
      </c>
      <c r="Z28" s="13" t="str">
        <f aca="false">IF(I28="","",IF(1-((M28+IF(J28="",$B$8,J28))*(1+IF($B$6="Ja",0,0.19))+$B$5/(1+$B$5))&lt;=0,"n/a",((O28+P28)*(1+IF($B$6="Ja",0,0.19))+U28+V28)/(1-((M28+IF(J28="",$B$8,J28))*(1+IF($B$6="Ja",0,0.19))+$B$5/(1+$B$5)))-H28))</f>
        <v/>
      </c>
      <c r="AA28" s="13" t="str">
        <f aca="false">IF(I28="","",IF(1-((M28+IF(J28="",$B$8,J28))*(1+IF($B$6="Ja",0,0.19))+$B$5/(1+$B$5))-$B$7&lt;=0,"n/a",((O28+P28)*(1+IF($B$6="Ja",0,0.19))+U28+V28)/(1-((M28+IF(J28="",$B$8,J28))*(1+IF($B$6="Ja",0,0.19))+$B$5/(1+$B$5))-$B$7)-H28))</f>
        <v/>
      </c>
      <c r="AB28" s="16" t="str">
        <f aca="false">IF(I28="","",IF(W28&lt;0,"Verlust",IF(X28&lt;$B$7,"unter Wunschmarge","ok")))</f>
        <v/>
      </c>
    </row>
    <row r="29" customFormat="false" ht="15" hidden="false" customHeight="false" outlineLevel="0" collapsed="false">
      <c r="A29" s="10" t="n">
        <v>17</v>
      </c>
      <c r="B29" s="10"/>
      <c r="C29" s="10"/>
      <c r="D29" s="11"/>
      <c r="E29" s="11"/>
      <c r="F29" s="11"/>
      <c r="G29" s="11"/>
      <c r="H29" s="11"/>
      <c r="I29" s="11"/>
      <c r="J29" s="12"/>
      <c r="K29" s="12"/>
      <c r="L29" s="13" t="str">
        <f aca="false">IF(I29="","",I29+H29)</f>
        <v/>
      </c>
      <c r="M29" s="14" t="str">
        <f aca="false">IF(I29="","",IF($B$4="Privat",0,IFERROR(INDEX(Gebühren!$B$2:$B$18,MATCH(C29,Gebühren!$A$2:$A$18,0)),0.14)))</f>
        <v/>
      </c>
      <c r="N29" s="13" t="str">
        <f aca="false">IF(I29="","",IF($B$4="Privat",0,IF(OR(IFERROR(INDEX(Gebühren!$C$2:$C$18,MATCH(C29,Gebühren!$A$2:$A$18,0)),0)=0,L29&lt;=IFERROR(INDEX(Gebühren!$C$2:$C$18,MATCH(C29,Gebühren!$A$2:$A$18,0)),0)),L29*M29,INDEX(Gebühren!$C$2:$C$18,MATCH(C29,Gebühren!$A$2:$A$18,0))*M29+(L29-INDEX(Gebühren!$C$2:$C$18,MATCH(C29,Gebühren!$A$2:$A$18,0)))*IFERROR(INDEX(Gebühren!$D$2:$D$18,MATCH(C29,Gebühren!$A$2:$A$18,0)),0.03))))</f>
        <v/>
      </c>
      <c r="O29" s="13" t="str">
        <f aca="false">IF(I29="","",IF($B$4="Privat",0,IF(L29&lt;=10,Gebühren!$B$21,Gebühren!$B$22)))</f>
        <v/>
      </c>
      <c r="P29" s="13" t="str">
        <f aca="false">IF(I29="","",IF($B$4="Privat",0,Gebühren!$B$23/MAX(1,$B$9)))</f>
        <v/>
      </c>
      <c r="Q29" s="13" t="str">
        <f aca="false">IF(I29="","",L29*IF(J29="",$B$8,J29))</f>
        <v/>
      </c>
      <c r="R29" s="13" t="str">
        <f aca="false">IF(I29="","",N29+O29+P29+Q29)</f>
        <v/>
      </c>
      <c r="S29" s="13" t="str">
        <f aca="false">IF(I29="","",IF($B$6="Ja",0,R29*0.19))</f>
        <v/>
      </c>
      <c r="T29" s="13" t="str">
        <f aca="false">IF(I29="","",L29-L29/(1+$B$5))</f>
        <v/>
      </c>
      <c r="U29" s="13" t="str">
        <f aca="false">IF(I29="","",D29+E29+F29+G29)</f>
        <v/>
      </c>
      <c r="V29" s="13" t="str">
        <f aca="false">IF(I29="","",U29*K29)</f>
        <v/>
      </c>
      <c r="W29" s="13" t="str">
        <f aca="false">IF(I29="","",L29-R29-S29-T29-U29-V29)</f>
        <v/>
      </c>
      <c r="X29" s="15" t="str">
        <f aca="false">IF(I29="","",IF(L29=0,0,W29/L29))</f>
        <v/>
      </c>
      <c r="Y29" s="15" t="str">
        <f aca="false">IF(I29="","",IF(D29=0,0,W29/D29))</f>
        <v/>
      </c>
      <c r="Z29" s="13" t="str">
        <f aca="false">IF(I29="","",IF(1-((M29+IF(J29="",$B$8,J29))*(1+IF($B$6="Ja",0,0.19))+$B$5/(1+$B$5))&lt;=0,"n/a",((O29+P29)*(1+IF($B$6="Ja",0,0.19))+U29+V29)/(1-((M29+IF(J29="",$B$8,J29))*(1+IF($B$6="Ja",0,0.19))+$B$5/(1+$B$5)))-H29))</f>
        <v/>
      </c>
      <c r="AA29" s="13" t="str">
        <f aca="false">IF(I29="","",IF(1-((M29+IF(J29="",$B$8,J29))*(1+IF($B$6="Ja",0,0.19))+$B$5/(1+$B$5))-$B$7&lt;=0,"n/a",((O29+P29)*(1+IF($B$6="Ja",0,0.19))+U29+V29)/(1-((M29+IF(J29="",$B$8,J29))*(1+IF($B$6="Ja",0,0.19))+$B$5/(1+$B$5))-$B$7)-H29))</f>
        <v/>
      </c>
      <c r="AB29" s="16" t="str">
        <f aca="false">IF(I29="","",IF(W29&lt;0,"Verlust",IF(X29&lt;$B$7,"unter Wunschmarge","ok")))</f>
        <v/>
      </c>
    </row>
    <row r="30" customFormat="false" ht="15" hidden="false" customHeight="false" outlineLevel="0" collapsed="false">
      <c r="A30" s="10" t="n">
        <v>18</v>
      </c>
      <c r="B30" s="10"/>
      <c r="C30" s="10"/>
      <c r="D30" s="11"/>
      <c r="E30" s="11"/>
      <c r="F30" s="11"/>
      <c r="G30" s="11"/>
      <c r="H30" s="11"/>
      <c r="I30" s="11"/>
      <c r="J30" s="12"/>
      <c r="K30" s="12"/>
      <c r="L30" s="13" t="str">
        <f aca="false">IF(I30="","",I30+H30)</f>
        <v/>
      </c>
      <c r="M30" s="14" t="str">
        <f aca="false">IF(I30="","",IF($B$4="Privat",0,IFERROR(INDEX(Gebühren!$B$2:$B$18,MATCH(C30,Gebühren!$A$2:$A$18,0)),0.14)))</f>
        <v/>
      </c>
      <c r="N30" s="13" t="str">
        <f aca="false">IF(I30="","",IF($B$4="Privat",0,IF(OR(IFERROR(INDEX(Gebühren!$C$2:$C$18,MATCH(C30,Gebühren!$A$2:$A$18,0)),0)=0,L30&lt;=IFERROR(INDEX(Gebühren!$C$2:$C$18,MATCH(C30,Gebühren!$A$2:$A$18,0)),0)),L30*M30,INDEX(Gebühren!$C$2:$C$18,MATCH(C30,Gebühren!$A$2:$A$18,0))*M30+(L30-INDEX(Gebühren!$C$2:$C$18,MATCH(C30,Gebühren!$A$2:$A$18,0)))*IFERROR(INDEX(Gebühren!$D$2:$D$18,MATCH(C30,Gebühren!$A$2:$A$18,0)),0.03))))</f>
        <v/>
      </c>
      <c r="O30" s="13" t="str">
        <f aca="false">IF(I30="","",IF($B$4="Privat",0,IF(L30&lt;=10,Gebühren!$B$21,Gebühren!$B$22)))</f>
        <v/>
      </c>
      <c r="P30" s="13" t="str">
        <f aca="false">IF(I30="","",IF($B$4="Privat",0,Gebühren!$B$23/MAX(1,$B$9)))</f>
        <v/>
      </c>
      <c r="Q30" s="13" t="str">
        <f aca="false">IF(I30="","",L30*IF(J30="",$B$8,J30))</f>
        <v/>
      </c>
      <c r="R30" s="13" t="str">
        <f aca="false">IF(I30="","",N30+O30+P30+Q30)</f>
        <v/>
      </c>
      <c r="S30" s="13" t="str">
        <f aca="false">IF(I30="","",IF($B$6="Ja",0,R30*0.19))</f>
        <v/>
      </c>
      <c r="T30" s="13" t="str">
        <f aca="false">IF(I30="","",L30-L30/(1+$B$5))</f>
        <v/>
      </c>
      <c r="U30" s="13" t="str">
        <f aca="false">IF(I30="","",D30+E30+F30+G30)</f>
        <v/>
      </c>
      <c r="V30" s="13" t="str">
        <f aca="false">IF(I30="","",U30*K30)</f>
        <v/>
      </c>
      <c r="W30" s="13" t="str">
        <f aca="false">IF(I30="","",L30-R30-S30-T30-U30-V30)</f>
        <v/>
      </c>
      <c r="X30" s="15" t="str">
        <f aca="false">IF(I30="","",IF(L30=0,0,W30/L30))</f>
        <v/>
      </c>
      <c r="Y30" s="15" t="str">
        <f aca="false">IF(I30="","",IF(D30=0,0,W30/D30))</f>
        <v/>
      </c>
      <c r="Z30" s="13" t="str">
        <f aca="false">IF(I30="","",IF(1-((M30+IF(J30="",$B$8,J30))*(1+IF($B$6="Ja",0,0.19))+$B$5/(1+$B$5))&lt;=0,"n/a",((O30+P30)*(1+IF($B$6="Ja",0,0.19))+U30+V30)/(1-((M30+IF(J30="",$B$8,J30))*(1+IF($B$6="Ja",0,0.19))+$B$5/(1+$B$5)))-H30))</f>
        <v/>
      </c>
      <c r="AA30" s="13" t="str">
        <f aca="false">IF(I30="","",IF(1-((M30+IF(J30="",$B$8,J30))*(1+IF($B$6="Ja",0,0.19))+$B$5/(1+$B$5))-$B$7&lt;=0,"n/a",((O30+P30)*(1+IF($B$6="Ja",0,0.19))+U30+V30)/(1-((M30+IF(J30="",$B$8,J30))*(1+IF($B$6="Ja",0,0.19))+$B$5/(1+$B$5))-$B$7)-H30))</f>
        <v/>
      </c>
      <c r="AB30" s="16" t="str">
        <f aca="false">IF(I30="","",IF(W30&lt;0,"Verlust",IF(X30&lt;$B$7,"unter Wunschmarge","ok")))</f>
        <v/>
      </c>
    </row>
    <row r="31" customFormat="false" ht="15" hidden="false" customHeight="false" outlineLevel="0" collapsed="false">
      <c r="A31" s="10" t="n">
        <v>19</v>
      </c>
      <c r="B31" s="10"/>
      <c r="C31" s="10"/>
      <c r="D31" s="11"/>
      <c r="E31" s="11"/>
      <c r="F31" s="11"/>
      <c r="G31" s="11"/>
      <c r="H31" s="11"/>
      <c r="I31" s="11"/>
      <c r="J31" s="12"/>
      <c r="K31" s="12"/>
      <c r="L31" s="13" t="str">
        <f aca="false">IF(I31="","",I31+H31)</f>
        <v/>
      </c>
      <c r="M31" s="14" t="str">
        <f aca="false">IF(I31="","",IF($B$4="Privat",0,IFERROR(INDEX(Gebühren!$B$2:$B$18,MATCH(C31,Gebühren!$A$2:$A$18,0)),0.14)))</f>
        <v/>
      </c>
      <c r="N31" s="13" t="str">
        <f aca="false">IF(I31="","",IF($B$4="Privat",0,IF(OR(IFERROR(INDEX(Gebühren!$C$2:$C$18,MATCH(C31,Gebühren!$A$2:$A$18,0)),0)=0,L31&lt;=IFERROR(INDEX(Gebühren!$C$2:$C$18,MATCH(C31,Gebühren!$A$2:$A$18,0)),0)),L31*M31,INDEX(Gebühren!$C$2:$C$18,MATCH(C31,Gebühren!$A$2:$A$18,0))*M31+(L31-INDEX(Gebühren!$C$2:$C$18,MATCH(C31,Gebühren!$A$2:$A$18,0)))*IFERROR(INDEX(Gebühren!$D$2:$D$18,MATCH(C31,Gebühren!$A$2:$A$18,0)),0.03))))</f>
        <v/>
      </c>
      <c r="O31" s="13" t="str">
        <f aca="false">IF(I31="","",IF($B$4="Privat",0,IF(L31&lt;=10,Gebühren!$B$21,Gebühren!$B$22)))</f>
        <v/>
      </c>
      <c r="P31" s="13" t="str">
        <f aca="false">IF(I31="","",IF($B$4="Privat",0,Gebühren!$B$23/MAX(1,$B$9)))</f>
        <v/>
      </c>
      <c r="Q31" s="13" t="str">
        <f aca="false">IF(I31="","",L31*IF(J31="",$B$8,J31))</f>
        <v/>
      </c>
      <c r="R31" s="13" t="str">
        <f aca="false">IF(I31="","",N31+O31+P31+Q31)</f>
        <v/>
      </c>
      <c r="S31" s="13" t="str">
        <f aca="false">IF(I31="","",IF($B$6="Ja",0,R31*0.19))</f>
        <v/>
      </c>
      <c r="T31" s="13" t="str">
        <f aca="false">IF(I31="","",L31-L31/(1+$B$5))</f>
        <v/>
      </c>
      <c r="U31" s="13" t="str">
        <f aca="false">IF(I31="","",D31+E31+F31+G31)</f>
        <v/>
      </c>
      <c r="V31" s="13" t="str">
        <f aca="false">IF(I31="","",U31*K31)</f>
        <v/>
      </c>
      <c r="W31" s="13" t="str">
        <f aca="false">IF(I31="","",L31-R31-S31-T31-U31-V31)</f>
        <v/>
      </c>
      <c r="X31" s="15" t="str">
        <f aca="false">IF(I31="","",IF(L31=0,0,W31/L31))</f>
        <v/>
      </c>
      <c r="Y31" s="15" t="str">
        <f aca="false">IF(I31="","",IF(D31=0,0,W31/D31))</f>
        <v/>
      </c>
      <c r="Z31" s="13" t="str">
        <f aca="false">IF(I31="","",IF(1-((M31+IF(J31="",$B$8,J31))*(1+IF($B$6="Ja",0,0.19))+$B$5/(1+$B$5))&lt;=0,"n/a",((O31+P31)*(1+IF($B$6="Ja",0,0.19))+U31+V31)/(1-((M31+IF(J31="",$B$8,J31))*(1+IF($B$6="Ja",0,0.19))+$B$5/(1+$B$5)))-H31))</f>
        <v/>
      </c>
      <c r="AA31" s="13" t="str">
        <f aca="false">IF(I31="","",IF(1-((M31+IF(J31="",$B$8,J31))*(1+IF($B$6="Ja",0,0.19))+$B$5/(1+$B$5))-$B$7&lt;=0,"n/a",((O31+P31)*(1+IF($B$6="Ja",0,0.19))+U31+V31)/(1-((M31+IF(J31="",$B$8,J31))*(1+IF($B$6="Ja",0,0.19))+$B$5/(1+$B$5))-$B$7)-H31))</f>
        <v/>
      </c>
      <c r="AB31" s="16" t="str">
        <f aca="false">IF(I31="","",IF(W31&lt;0,"Verlust",IF(X31&lt;$B$7,"unter Wunschmarge","ok")))</f>
        <v/>
      </c>
    </row>
    <row r="32" customFormat="false" ht="15" hidden="false" customHeight="false" outlineLevel="0" collapsed="false">
      <c r="A32" s="10" t="n">
        <v>20</v>
      </c>
      <c r="B32" s="10"/>
      <c r="C32" s="10"/>
      <c r="D32" s="11"/>
      <c r="E32" s="11"/>
      <c r="F32" s="11"/>
      <c r="G32" s="11"/>
      <c r="H32" s="11"/>
      <c r="I32" s="11"/>
      <c r="J32" s="12"/>
      <c r="K32" s="12"/>
      <c r="L32" s="13" t="str">
        <f aca="false">IF(I32="","",I32+H32)</f>
        <v/>
      </c>
      <c r="M32" s="14" t="str">
        <f aca="false">IF(I32="","",IF($B$4="Privat",0,IFERROR(INDEX(Gebühren!$B$2:$B$18,MATCH(C32,Gebühren!$A$2:$A$18,0)),0.14)))</f>
        <v/>
      </c>
      <c r="N32" s="13" t="str">
        <f aca="false">IF(I32="","",IF($B$4="Privat",0,IF(OR(IFERROR(INDEX(Gebühren!$C$2:$C$18,MATCH(C32,Gebühren!$A$2:$A$18,0)),0)=0,L32&lt;=IFERROR(INDEX(Gebühren!$C$2:$C$18,MATCH(C32,Gebühren!$A$2:$A$18,0)),0)),L32*M32,INDEX(Gebühren!$C$2:$C$18,MATCH(C32,Gebühren!$A$2:$A$18,0))*M32+(L32-INDEX(Gebühren!$C$2:$C$18,MATCH(C32,Gebühren!$A$2:$A$18,0)))*IFERROR(INDEX(Gebühren!$D$2:$D$18,MATCH(C32,Gebühren!$A$2:$A$18,0)),0.03))))</f>
        <v/>
      </c>
      <c r="O32" s="13" t="str">
        <f aca="false">IF(I32="","",IF($B$4="Privat",0,IF(L32&lt;=10,Gebühren!$B$21,Gebühren!$B$22)))</f>
        <v/>
      </c>
      <c r="P32" s="13" t="str">
        <f aca="false">IF(I32="","",IF($B$4="Privat",0,Gebühren!$B$23/MAX(1,$B$9)))</f>
        <v/>
      </c>
      <c r="Q32" s="13" t="str">
        <f aca="false">IF(I32="","",L32*IF(J32="",$B$8,J32))</f>
        <v/>
      </c>
      <c r="R32" s="13" t="str">
        <f aca="false">IF(I32="","",N32+O32+P32+Q32)</f>
        <v/>
      </c>
      <c r="S32" s="13" t="str">
        <f aca="false">IF(I32="","",IF($B$6="Ja",0,R32*0.19))</f>
        <v/>
      </c>
      <c r="T32" s="13" t="str">
        <f aca="false">IF(I32="","",L32-L32/(1+$B$5))</f>
        <v/>
      </c>
      <c r="U32" s="13" t="str">
        <f aca="false">IF(I32="","",D32+E32+F32+G32)</f>
        <v/>
      </c>
      <c r="V32" s="13" t="str">
        <f aca="false">IF(I32="","",U32*K32)</f>
        <v/>
      </c>
      <c r="W32" s="13" t="str">
        <f aca="false">IF(I32="","",L32-R32-S32-T32-U32-V32)</f>
        <v/>
      </c>
      <c r="X32" s="15" t="str">
        <f aca="false">IF(I32="","",IF(L32=0,0,W32/L32))</f>
        <v/>
      </c>
      <c r="Y32" s="15" t="str">
        <f aca="false">IF(I32="","",IF(D32=0,0,W32/D32))</f>
        <v/>
      </c>
      <c r="Z32" s="13" t="str">
        <f aca="false">IF(I32="","",IF(1-((M32+IF(J32="",$B$8,J32))*(1+IF($B$6="Ja",0,0.19))+$B$5/(1+$B$5))&lt;=0,"n/a",((O32+P32)*(1+IF($B$6="Ja",0,0.19))+U32+V32)/(1-((M32+IF(J32="",$B$8,J32))*(1+IF($B$6="Ja",0,0.19))+$B$5/(1+$B$5)))-H32))</f>
        <v/>
      </c>
      <c r="AA32" s="13" t="str">
        <f aca="false">IF(I32="","",IF(1-((M32+IF(J32="",$B$8,J32))*(1+IF($B$6="Ja",0,0.19))+$B$5/(1+$B$5))-$B$7&lt;=0,"n/a",((O32+P32)*(1+IF($B$6="Ja",0,0.19))+U32+V32)/(1-((M32+IF(J32="",$B$8,J32))*(1+IF($B$6="Ja",0,0.19))+$B$5/(1+$B$5))-$B$7)-H32))</f>
        <v/>
      </c>
      <c r="AB32" s="16" t="str">
        <f aca="false">IF(I32="","",IF(W32&lt;0,"Verlust",IF(X32&lt;$B$7,"unter Wunschmarge","ok")))</f>
        <v/>
      </c>
    </row>
    <row r="33" customFormat="false" ht="15" hidden="false" customHeight="false" outlineLevel="0" collapsed="false">
      <c r="A33" s="10" t="n">
        <v>21</v>
      </c>
      <c r="B33" s="10"/>
      <c r="C33" s="10"/>
      <c r="D33" s="11"/>
      <c r="E33" s="11"/>
      <c r="F33" s="11"/>
      <c r="G33" s="11"/>
      <c r="H33" s="11"/>
      <c r="I33" s="11"/>
      <c r="J33" s="12"/>
      <c r="K33" s="12"/>
      <c r="L33" s="13" t="str">
        <f aca="false">IF(I33="","",I33+H33)</f>
        <v/>
      </c>
      <c r="M33" s="14" t="str">
        <f aca="false">IF(I33="","",IF($B$4="Privat",0,IFERROR(INDEX(Gebühren!$B$2:$B$18,MATCH(C33,Gebühren!$A$2:$A$18,0)),0.14)))</f>
        <v/>
      </c>
      <c r="N33" s="13" t="str">
        <f aca="false">IF(I33="","",IF($B$4="Privat",0,IF(OR(IFERROR(INDEX(Gebühren!$C$2:$C$18,MATCH(C33,Gebühren!$A$2:$A$18,0)),0)=0,L33&lt;=IFERROR(INDEX(Gebühren!$C$2:$C$18,MATCH(C33,Gebühren!$A$2:$A$18,0)),0)),L33*M33,INDEX(Gebühren!$C$2:$C$18,MATCH(C33,Gebühren!$A$2:$A$18,0))*M33+(L33-INDEX(Gebühren!$C$2:$C$18,MATCH(C33,Gebühren!$A$2:$A$18,0)))*IFERROR(INDEX(Gebühren!$D$2:$D$18,MATCH(C33,Gebühren!$A$2:$A$18,0)),0.03))))</f>
        <v/>
      </c>
      <c r="O33" s="13" t="str">
        <f aca="false">IF(I33="","",IF($B$4="Privat",0,IF(L33&lt;=10,Gebühren!$B$21,Gebühren!$B$22)))</f>
        <v/>
      </c>
      <c r="P33" s="13" t="str">
        <f aca="false">IF(I33="","",IF($B$4="Privat",0,Gebühren!$B$23/MAX(1,$B$9)))</f>
        <v/>
      </c>
      <c r="Q33" s="13" t="str">
        <f aca="false">IF(I33="","",L33*IF(J33="",$B$8,J33))</f>
        <v/>
      </c>
      <c r="R33" s="13" t="str">
        <f aca="false">IF(I33="","",N33+O33+P33+Q33)</f>
        <v/>
      </c>
      <c r="S33" s="13" t="str">
        <f aca="false">IF(I33="","",IF($B$6="Ja",0,R33*0.19))</f>
        <v/>
      </c>
      <c r="T33" s="13" t="str">
        <f aca="false">IF(I33="","",L33-L33/(1+$B$5))</f>
        <v/>
      </c>
      <c r="U33" s="13" t="str">
        <f aca="false">IF(I33="","",D33+E33+F33+G33)</f>
        <v/>
      </c>
      <c r="V33" s="13" t="str">
        <f aca="false">IF(I33="","",U33*K33)</f>
        <v/>
      </c>
      <c r="W33" s="13" t="str">
        <f aca="false">IF(I33="","",L33-R33-S33-T33-U33-V33)</f>
        <v/>
      </c>
      <c r="X33" s="15" t="str">
        <f aca="false">IF(I33="","",IF(L33=0,0,W33/L33))</f>
        <v/>
      </c>
      <c r="Y33" s="15" t="str">
        <f aca="false">IF(I33="","",IF(D33=0,0,W33/D33))</f>
        <v/>
      </c>
      <c r="Z33" s="13" t="str">
        <f aca="false">IF(I33="","",IF(1-((M33+IF(J33="",$B$8,J33))*(1+IF($B$6="Ja",0,0.19))+$B$5/(1+$B$5))&lt;=0,"n/a",((O33+P33)*(1+IF($B$6="Ja",0,0.19))+U33+V33)/(1-((M33+IF(J33="",$B$8,J33))*(1+IF($B$6="Ja",0,0.19))+$B$5/(1+$B$5)))-H33))</f>
        <v/>
      </c>
      <c r="AA33" s="13" t="str">
        <f aca="false">IF(I33="","",IF(1-((M33+IF(J33="",$B$8,J33))*(1+IF($B$6="Ja",0,0.19))+$B$5/(1+$B$5))-$B$7&lt;=0,"n/a",((O33+P33)*(1+IF($B$6="Ja",0,0.19))+U33+V33)/(1-((M33+IF(J33="",$B$8,J33))*(1+IF($B$6="Ja",0,0.19))+$B$5/(1+$B$5))-$B$7)-H33))</f>
        <v/>
      </c>
      <c r="AB33" s="16" t="str">
        <f aca="false">IF(I33="","",IF(W33&lt;0,"Verlust",IF(X33&lt;$B$7,"unter Wunschmarge","ok")))</f>
        <v/>
      </c>
    </row>
    <row r="34" customFormat="false" ht="15" hidden="false" customHeight="false" outlineLevel="0" collapsed="false">
      <c r="A34" s="10" t="n">
        <v>22</v>
      </c>
      <c r="B34" s="10"/>
      <c r="C34" s="10"/>
      <c r="D34" s="11"/>
      <c r="E34" s="11"/>
      <c r="F34" s="11"/>
      <c r="G34" s="11"/>
      <c r="H34" s="11"/>
      <c r="I34" s="11"/>
      <c r="J34" s="12"/>
      <c r="K34" s="12"/>
      <c r="L34" s="13" t="str">
        <f aca="false">IF(I34="","",I34+H34)</f>
        <v/>
      </c>
      <c r="M34" s="14" t="str">
        <f aca="false">IF(I34="","",IF($B$4="Privat",0,IFERROR(INDEX(Gebühren!$B$2:$B$18,MATCH(C34,Gebühren!$A$2:$A$18,0)),0.14)))</f>
        <v/>
      </c>
      <c r="N34" s="13" t="str">
        <f aca="false">IF(I34="","",IF($B$4="Privat",0,IF(OR(IFERROR(INDEX(Gebühren!$C$2:$C$18,MATCH(C34,Gebühren!$A$2:$A$18,0)),0)=0,L34&lt;=IFERROR(INDEX(Gebühren!$C$2:$C$18,MATCH(C34,Gebühren!$A$2:$A$18,0)),0)),L34*M34,INDEX(Gebühren!$C$2:$C$18,MATCH(C34,Gebühren!$A$2:$A$18,0))*M34+(L34-INDEX(Gebühren!$C$2:$C$18,MATCH(C34,Gebühren!$A$2:$A$18,0)))*IFERROR(INDEX(Gebühren!$D$2:$D$18,MATCH(C34,Gebühren!$A$2:$A$18,0)),0.03))))</f>
        <v/>
      </c>
      <c r="O34" s="13" t="str">
        <f aca="false">IF(I34="","",IF($B$4="Privat",0,IF(L34&lt;=10,Gebühren!$B$21,Gebühren!$B$22)))</f>
        <v/>
      </c>
      <c r="P34" s="13" t="str">
        <f aca="false">IF(I34="","",IF($B$4="Privat",0,Gebühren!$B$23/MAX(1,$B$9)))</f>
        <v/>
      </c>
      <c r="Q34" s="13" t="str">
        <f aca="false">IF(I34="","",L34*IF(J34="",$B$8,J34))</f>
        <v/>
      </c>
      <c r="R34" s="13" t="str">
        <f aca="false">IF(I34="","",N34+O34+P34+Q34)</f>
        <v/>
      </c>
      <c r="S34" s="13" t="str">
        <f aca="false">IF(I34="","",IF($B$6="Ja",0,R34*0.19))</f>
        <v/>
      </c>
      <c r="T34" s="13" t="str">
        <f aca="false">IF(I34="","",L34-L34/(1+$B$5))</f>
        <v/>
      </c>
      <c r="U34" s="13" t="str">
        <f aca="false">IF(I34="","",D34+E34+F34+G34)</f>
        <v/>
      </c>
      <c r="V34" s="13" t="str">
        <f aca="false">IF(I34="","",U34*K34)</f>
        <v/>
      </c>
      <c r="W34" s="13" t="str">
        <f aca="false">IF(I34="","",L34-R34-S34-T34-U34-V34)</f>
        <v/>
      </c>
      <c r="X34" s="15" t="str">
        <f aca="false">IF(I34="","",IF(L34=0,0,W34/L34))</f>
        <v/>
      </c>
      <c r="Y34" s="15" t="str">
        <f aca="false">IF(I34="","",IF(D34=0,0,W34/D34))</f>
        <v/>
      </c>
      <c r="Z34" s="13" t="str">
        <f aca="false">IF(I34="","",IF(1-((M34+IF(J34="",$B$8,J34))*(1+IF($B$6="Ja",0,0.19))+$B$5/(1+$B$5))&lt;=0,"n/a",((O34+P34)*(1+IF($B$6="Ja",0,0.19))+U34+V34)/(1-((M34+IF(J34="",$B$8,J34))*(1+IF($B$6="Ja",0,0.19))+$B$5/(1+$B$5)))-H34))</f>
        <v/>
      </c>
      <c r="AA34" s="13" t="str">
        <f aca="false">IF(I34="","",IF(1-((M34+IF(J34="",$B$8,J34))*(1+IF($B$6="Ja",0,0.19))+$B$5/(1+$B$5))-$B$7&lt;=0,"n/a",((O34+P34)*(1+IF($B$6="Ja",0,0.19))+U34+V34)/(1-((M34+IF(J34="",$B$8,J34))*(1+IF($B$6="Ja",0,0.19))+$B$5/(1+$B$5))-$B$7)-H34))</f>
        <v/>
      </c>
      <c r="AB34" s="16" t="str">
        <f aca="false">IF(I34="","",IF(W34&lt;0,"Verlust",IF(X34&lt;$B$7,"unter Wunschmarge","ok")))</f>
        <v/>
      </c>
    </row>
    <row r="35" customFormat="false" ht="15" hidden="false" customHeight="false" outlineLevel="0" collapsed="false">
      <c r="A35" s="10" t="n">
        <v>23</v>
      </c>
      <c r="B35" s="10"/>
      <c r="C35" s="10"/>
      <c r="D35" s="11"/>
      <c r="E35" s="11"/>
      <c r="F35" s="11"/>
      <c r="G35" s="11"/>
      <c r="H35" s="11"/>
      <c r="I35" s="11"/>
      <c r="J35" s="12"/>
      <c r="K35" s="12"/>
      <c r="L35" s="13" t="str">
        <f aca="false">IF(I35="","",I35+H35)</f>
        <v/>
      </c>
      <c r="M35" s="14" t="str">
        <f aca="false">IF(I35="","",IF($B$4="Privat",0,IFERROR(INDEX(Gebühren!$B$2:$B$18,MATCH(C35,Gebühren!$A$2:$A$18,0)),0.14)))</f>
        <v/>
      </c>
      <c r="N35" s="13" t="str">
        <f aca="false">IF(I35="","",IF($B$4="Privat",0,IF(OR(IFERROR(INDEX(Gebühren!$C$2:$C$18,MATCH(C35,Gebühren!$A$2:$A$18,0)),0)=0,L35&lt;=IFERROR(INDEX(Gebühren!$C$2:$C$18,MATCH(C35,Gebühren!$A$2:$A$18,0)),0)),L35*M35,INDEX(Gebühren!$C$2:$C$18,MATCH(C35,Gebühren!$A$2:$A$18,0))*M35+(L35-INDEX(Gebühren!$C$2:$C$18,MATCH(C35,Gebühren!$A$2:$A$18,0)))*IFERROR(INDEX(Gebühren!$D$2:$D$18,MATCH(C35,Gebühren!$A$2:$A$18,0)),0.03))))</f>
        <v/>
      </c>
      <c r="O35" s="13" t="str">
        <f aca="false">IF(I35="","",IF($B$4="Privat",0,IF(L35&lt;=10,Gebühren!$B$21,Gebühren!$B$22)))</f>
        <v/>
      </c>
      <c r="P35" s="13" t="str">
        <f aca="false">IF(I35="","",IF($B$4="Privat",0,Gebühren!$B$23/MAX(1,$B$9)))</f>
        <v/>
      </c>
      <c r="Q35" s="13" t="str">
        <f aca="false">IF(I35="","",L35*IF(J35="",$B$8,J35))</f>
        <v/>
      </c>
      <c r="R35" s="13" t="str">
        <f aca="false">IF(I35="","",N35+O35+P35+Q35)</f>
        <v/>
      </c>
      <c r="S35" s="13" t="str">
        <f aca="false">IF(I35="","",IF($B$6="Ja",0,R35*0.19))</f>
        <v/>
      </c>
      <c r="T35" s="13" t="str">
        <f aca="false">IF(I35="","",L35-L35/(1+$B$5))</f>
        <v/>
      </c>
      <c r="U35" s="13" t="str">
        <f aca="false">IF(I35="","",D35+E35+F35+G35)</f>
        <v/>
      </c>
      <c r="V35" s="13" t="str">
        <f aca="false">IF(I35="","",U35*K35)</f>
        <v/>
      </c>
      <c r="W35" s="13" t="str">
        <f aca="false">IF(I35="","",L35-R35-S35-T35-U35-V35)</f>
        <v/>
      </c>
      <c r="X35" s="15" t="str">
        <f aca="false">IF(I35="","",IF(L35=0,0,W35/L35))</f>
        <v/>
      </c>
      <c r="Y35" s="15" t="str">
        <f aca="false">IF(I35="","",IF(D35=0,0,W35/D35))</f>
        <v/>
      </c>
      <c r="Z35" s="13" t="str">
        <f aca="false">IF(I35="","",IF(1-((M35+IF(J35="",$B$8,J35))*(1+IF($B$6="Ja",0,0.19))+$B$5/(1+$B$5))&lt;=0,"n/a",((O35+P35)*(1+IF($B$6="Ja",0,0.19))+U35+V35)/(1-((M35+IF(J35="",$B$8,J35))*(1+IF($B$6="Ja",0,0.19))+$B$5/(1+$B$5)))-H35))</f>
        <v/>
      </c>
      <c r="AA35" s="13" t="str">
        <f aca="false">IF(I35="","",IF(1-((M35+IF(J35="",$B$8,J35))*(1+IF($B$6="Ja",0,0.19))+$B$5/(1+$B$5))-$B$7&lt;=0,"n/a",((O35+P35)*(1+IF($B$6="Ja",0,0.19))+U35+V35)/(1-((M35+IF(J35="",$B$8,J35))*(1+IF($B$6="Ja",0,0.19))+$B$5/(1+$B$5))-$B$7)-H35))</f>
        <v/>
      </c>
      <c r="AB35" s="16" t="str">
        <f aca="false">IF(I35="","",IF(W35&lt;0,"Verlust",IF(X35&lt;$B$7,"unter Wunschmarge","ok")))</f>
        <v/>
      </c>
    </row>
    <row r="36" customFormat="false" ht="15" hidden="false" customHeight="false" outlineLevel="0" collapsed="false">
      <c r="A36" s="10" t="n">
        <v>24</v>
      </c>
      <c r="B36" s="10"/>
      <c r="C36" s="10"/>
      <c r="D36" s="11"/>
      <c r="E36" s="11"/>
      <c r="F36" s="11"/>
      <c r="G36" s="11"/>
      <c r="H36" s="11"/>
      <c r="I36" s="11"/>
      <c r="J36" s="12"/>
      <c r="K36" s="12"/>
      <c r="L36" s="13" t="str">
        <f aca="false">IF(I36="","",I36+H36)</f>
        <v/>
      </c>
      <c r="M36" s="14" t="str">
        <f aca="false">IF(I36="","",IF($B$4="Privat",0,IFERROR(INDEX(Gebühren!$B$2:$B$18,MATCH(C36,Gebühren!$A$2:$A$18,0)),0.14)))</f>
        <v/>
      </c>
      <c r="N36" s="13" t="str">
        <f aca="false">IF(I36="","",IF($B$4="Privat",0,IF(OR(IFERROR(INDEX(Gebühren!$C$2:$C$18,MATCH(C36,Gebühren!$A$2:$A$18,0)),0)=0,L36&lt;=IFERROR(INDEX(Gebühren!$C$2:$C$18,MATCH(C36,Gebühren!$A$2:$A$18,0)),0)),L36*M36,INDEX(Gebühren!$C$2:$C$18,MATCH(C36,Gebühren!$A$2:$A$18,0))*M36+(L36-INDEX(Gebühren!$C$2:$C$18,MATCH(C36,Gebühren!$A$2:$A$18,0)))*IFERROR(INDEX(Gebühren!$D$2:$D$18,MATCH(C36,Gebühren!$A$2:$A$18,0)),0.03))))</f>
        <v/>
      </c>
      <c r="O36" s="13" t="str">
        <f aca="false">IF(I36="","",IF($B$4="Privat",0,IF(L36&lt;=10,Gebühren!$B$21,Gebühren!$B$22)))</f>
        <v/>
      </c>
      <c r="P36" s="13" t="str">
        <f aca="false">IF(I36="","",IF($B$4="Privat",0,Gebühren!$B$23/MAX(1,$B$9)))</f>
        <v/>
      </c>
      <c r="Q36" s="13" t="str">
        <f aca="false">IF(I36="","",L36*IF(J36="",$B$8,J36))</f>
        <v/>
      </c>
      <c r="R36" s="13" t="str">
        <f aca="false">IF(I36="","",N36+O36+P36+Q36)</f>
        <v/>
      </c>
      <c r="S36" s="13" t="str">
        <f aca="false">IF(I36="","",IF($B$6="Ja",0,R36*0.19))</f>
        <v/>
      </c>
      <c r="T36" s="13" t="str">
        <f aca="false">IF(I36="","",L36-L36/(1+$B$5))</f>
        <v/>
      </c>
      <c r="U36" s="13" t="str">
        <f aca="false">IF(I36="","",D36+E36+F36+G36)</f>
        <v/>
      </c>
      <c r="V36" s="13" t="str">
        <f aca="false">IF(I36="","",U36*K36)</f>
        <v/>
      </c>
      <c r="W36" s="13" t="str">
        <f aca="false">IF(I36="","",L36-R36-S36-T36-U36-V36)</f>
        <v/>
      </c>
      <c r="X36" s="15" t="str">
        <f aca="false">IF(I36="","",IF(L36=0,0,W36/L36))</f>
        <v/>
      </c>
      <c r="Y36" s="15" t="str">
        <f aca="false">IF(I36="","",IF(D36=0,0,W36/D36))</f>
        <v/>
      </c>
      <c r="Z36" s="13" t="str">
        <f aca="false">IF(I36="","",IF(1-((M36+IF(J36="",$B$8,J36))*(1+IF($B$6="Ja",0,0.19))+$B$5/(1+$B$5))&lt;=0,"n/a",((O36+P36)*(1+IF($B$6="Ja",0,0.19))+U36+V36)/(1-((M36+IF(J36="",$B$8,J36))*(1+IF($B$6="Ja",0,0.19))+$B$5/(1+$B$5)))-H36))</f>
        <v/>
      </c>
      <c r="AA36" s="13" t="str">
        <f aca="false">IF(I36="","",IF(1-((M36+IF(J36="",$B$8,J36))*(1+IF($B$6="Ja",0,0.19))+$B$5/(1+$B$5))-$B$7&lt;=0,"n/a",((O36+P36)*(1+IF($B$6="Ja",0,0.19))+U36+V36)/(1-((M36+IF(J36="",$B$8,J36))*(1+IF($B$6="Ja",0,0.19))+$B$5/(1+$B$5))-$B$7)-H36))</f>
        <v/>
      </c>
      <c r="AB36" s="16" t="str">
        <f aca="false">IF(I36="","",IF(W36&lt;0,"Verlust",IF(X36&lt;$B$7,"unter Wunschmarge","ok")))</f>
        <v/>
      </c>
    </row>
    <row r="37" customFormat="false" ht="15" hidden="false" customHeight="false" outlineLevel="0" collapsed="false">
      <c r="A37" s="10" t="n">
        <v>25</v>
      </c>
      <c r="B37" s="10"/>
      <c r="C37" s="10"/>
      <c r="D37" s="11"/>
      <c r="E37" s="11"/>
      <c r="F37" s="11"/>
      <c r="G37" s="11"/>
      <c r="H37" s="11"/>
      <c r="I37" s="11"/>
      <c r="J37" s="12"/>
      <c r="K37" s="12"/>
      <c r="L37" s="13" t="str">
        <f aca="false">IF(I37="","",I37+H37)</f>
        <v/>
      </c>
      <c r="M37" s="14" t="str">
        <f aca="false">IF(I37="","",IF($B$4="Privat",0,IFERROR(INDEX(Gebühren!$B$2:$B$18,MATCH(C37,Gebühren!$A$2:$A$18,0)),0.14)))</f>
        <v/>
      </c>
      <c r="N37" s="13" t="str">
        <f aca="false">IF(I37="","",IF($B$4="Privat",0,IF(OR(IFERROR(INDEX(Gebühren!$C$2:$C$18,MATCH(C37,Gebühren!$A$2:$A$18,0)),0)=0,L37&lt;=IFERROR(INDEX(Gebühren!$C$2:$C$18,MATCH(C37,Gebühren!$A$2:$A$18,0)),0)),L37*M37,INDEX(Gebühren!$C$2:$C$18,MATCH(C37,Gebühren!$A$2:$A$18,0))*M37+(L37-INDEX(Gebühren!$C$2:$C$18,MATCH(C37,Gebühren!$A$2:$A$18,0)))*IFERROR(INDEX(Gebühren!$D$2:$D$18,MATCH(C37,Gebühren!$A$2:$A$18,0)),0.03))))</f>
        <v/>
      </c>
      <c r="O37" s="13" t="str">
        <f aca="false">IF(I37="","",IF($B$4="Privat",0,IF(L37&lt;=10,Gebühren!$B$21,Gebühren!$B$22)))</f>
        <v/>
      </c>
      <c r="P37" s="13" t="str">
        <f aca="false">IF(I37="","",IF($B$4="Privat",0,Gebühren!$B$23/MAX(1,$B$9)))</f>
        <v/>
      </c>
      <c r="Q37" s="13" t="str">
        <f aca="false">IF(I37="","",L37*IF(J37="",$B$8,J37))</f>
        <v/>
      </c>
      <c r="R37" s="13" t="str">
        <f aca="false">IF(I37="","",N37+O37+P37+Q37)</f>
        <v/>
      </c>
      <c r="S37" s="13" t="str">
        <f aca="false">IF(I37="","",IF($B$6="Ja",0,R37*0.19))</f>
        <v/>
      </c>
      <c r="T37" s="13" t="str">
        <f aca="false">IF(I37="","",L37-L37/(1+$B$5))</f>
        <v/>
      </c>
      <c r="U37" s="13" t="str">
        <f aca="false">IF(I37="","",D37+E37+F37+G37)</f>
        <v/>
      </c>
      <c r="V37" s="13" t="str">
        <f aca="false">IF(I37="","",U37*K37)</f>
        <v/>
      </c>
      <c r="W37" s="13" t="str">
        <f aca="false">IF(I37="","",L37-R37-S37-T37-U37-V37)</f>
        <v/>
      </c>
      <c r="X37" s="15" t="str">
        <f aca="false">IF(I37="","",IF(L37=0,0,W37/L37))</f>
        <v/>
      </c>
      <c r="Y37" s="15" t="str">
        <f aca="false">IF(I37="","",IF(D37=0,0,W37/D37))</f>
        <v/>
      </c>
      <c r="Z37" s="13" t="str">
        <f aca="false">IF(I37="","",IF(1-((M37+IF(J37="",$B$8,J37))*(1+IF($B$6="Ja",0,0.19))+$B$5/(1+$B$5))&lt;=0,"n/a",((O37+P37)*(1+IF($B$6="Ja",0,0.19))+U37+V37)/(1-((M37+IF(J37="",$B$8,J37))*(1+IF($B$6="Ja",0,0.19))+$B$5/(1+$B$5)))-H37))</f>
        <v/>
      </c>
      <c r="AA37" s="13" t="str">
        <f aca="false">IF(I37="","",IF(1-((M37+IF(J37="",$B$8,J37))*(1+IF($B$6="Ja",0,0.19))+$B$5/(1+$B$5))-$B$7&lt;=0,"n/a",((O37+P37)*(1+IF($B$6="Ja",0,0.19))+U37+V37)/(1-((M37+IF(J37="",$B$8,J37))*(1+IF($B$6="Ja",0,0.19))+$B$5/(1+$B$5))-$B$7)-H37))</f>
        <v/>
      </c>
      <c r="AB37" s="16" t="str">
        <f aca="false">IF(I37="","",IF(W37&lt;0,"Verlust",IF(X37&lt;$B$7,"unter Wunschmarge","ok")))</f>
        <v/>
      </c>
    </row>
    <row r="38" customFormat="false" ht="15" hidden="false" customHeight="false" outlineLevel="0" collapsed="false">
      <c r="A38" s="10" t="n">
        <v>26</v>
      </c>
      <c r="B38" s="10"/>
      <c r="C38" s="10"/>
      <c r="D38" s="11"/>
      <c r="E38" s="11"/>
      <c r="F38" s="11"/>
      <c r="G38" s="11"/>
      <c r="H38" s="11"/>
      <c r="I38" s="11"/>
      <c r="J38" s="12"/>
      <c r="K38" s="12"/>
      <c r="L38" s="13" t="str">
        <f aca="false">IF(I38="","",I38+H38)</f>
        <v/>
      </c>
      <c r="M38" s="14" t="str">
        <f aca="false">IF(I38="","",IF($B$4="Privat",0,IFERROR(INDEX(Gebühren!$B$2:$B$18,MATCH(C38,Gebühren!$A$2:$A$18,0)),0.14)))</f>
        <v/>
      </c>
      <c r="N38" s="13" t="str">
        <f aca="false">IF(I38="","",IF($B$4="Privat",0,IF(OR(IFERROR(INDEX(Gebühren!$C$2:$C$18,MATCH(C38,Gebühren!$A$2:$A$18,0)),0)=0,L38&lt;=IFERROR(INDEX(Gebühren!$C$2:$C$18,MATCH(C38,Gebühren!$A$2:$A$18,0)),0)),L38*M38,INDEX(Gebühren!$C$2:$C$18,MATCH(C38,Gebühren!$A$2:$A$18,0))*M38+(L38-INDEX(Gebühren!$C$2:$C$18,MATCH(C38,Gebühren!$A$2:$A$18,0)))*IFERROR(INDEX(Gebühren!$D$2:$D$18,MATCH(C38,Gebühren!$A$2:$A$18,0)),0.03))))</f>
        <v/>
      </c>
      <c r="O38" s="13" t="str">
        <f aca="false">IF(I38="","",IF($B$4="Privat",0,IF(L38&lt;=10,Gebühren!$B$21,Gebühren!$B$22)))</f>
        <v/>
      </c>
      <c r="P38" s="13" t="str">
        <f aca="false">IF(I38="","",IF($B$4="Privat",0,Gebühren!$B$23/MAX(1,$B$9)))</f>
        <v/>
      </c>
      <c r="Q38" s="13" t="str">
        <f aca="false">IF(I38="","",L38*IF(J38="",$B$8,J38))</f>
        <v/>
      </c>
      <c r="R38" s="13" t="str">
        <f aca="false">IF(I38="","",N38+O38+P38+Q38)</f>
        <v/>
      </c>
      <c r="S38" s="13" t="str">
        <f aca="false">IF(I38="","",IF($B$6="Ja",0,R38*0.19))</f>
        <v/>
      </c>
      <c r="T38" s="13" t="str">
        <f aca="false">IF(I38="","",L38-L38/(1+$B$5))</f>
        <v/>
      </c>
      <c r="U38" s="13" t="str">
        <f aca="false">IF(I38="","",D38+E38+F38+G38)</f>
        <v/>
      </c>
      <c r="V38" s="13" t="str">
        <f aca="false">IF(I38="","",U38*K38)</f>
        <v/>
      </c>
      <c r="W38" s="13" t="str">
        <f aca="false">IF(I38="","",L38-R38-S38-T38-U38-V38)</f>
        <v/>
      </c>
      <c r="X38" s="15" t="str">
        <f aca="false">IF(I38="","",IF(L38=0,0,W38/L38))</f>
        <v/>
      </c>
      <c r="Y38" s="15" t="str">
        <f aca="false">IF(I38="","",IF(D38=0,0,W38/D38))</f>
        <v/>
      </c>
      <c r="Z38" s="13" t="str">
        <f aca="false">IF(I38="","",IF(1-((M38+IF(J38="",$B$8,J38))*(1+IF($B$6="Ja",0,0.19))+$B$5/(1+$B$5))&lt;=0,"n/a",((O38+P38)*(1+IF($B$6="Ja",0,0.19))+U38+V38)/(1-((M38+IF(J38="",$B$8,J38))*(1+IF($B$6="Ja",0,0.19))+$B$5/(1+$B$5)))-H38))</f>
        <v/>
      </c>
      <c r="AA38" s="13" t="str">
        <f aca="false">IF(I38="","",IF(1-((M38+IF(J38="",$B$8,J38))*(1+IF($B$6="Ja",0,0.19))+$B$5/(1+$B$5))-$B$7&lt;=0,"n/a",((O38+P38)*(1+IF($B$6="Ja",0,0.19))+U38+V38)/(1-((M38+IF(J38="",$B$8,J38))*(1+IF($B$6="Ja",0,0.19))+$B$5/(1+$B$5))-$B$7)-H38))</f>
        <v/>
      </c>
      <c r="AB38" s="16" t="str">
        <f aca="false">IF(I38="","",IF(W38&lt;0,"Verlust",IF(X38&lt;$B$7,"unter Wunschmarge","ok")))</f>
        <v/>
      </c>
    </row>
    <row r="39" customFormat="false" ht="15" hidden="false" customHeight="false" outlineLevel="0" collapsed="false">
      <c r="A39" s="10" t="n">
        <v>27</v>
      </c>
      <c r="B39" s="10"/>
      <c r="C39" s="10"/>
      <c r="D39" s="11"/>
      <c r="E39" s="11"/>
      <c r="F39" s="11"/>
      <c r="G39" s="11"/>
      <c r="H39" s="11"/>
      <c r="I39" s="11"/>
      <c r="J39" s="12"/>
      <c r="K39" s="12"/>
      <c r="L39" s="13" t="str">
        <f aca="false">IF(I39="","",I39+H39)</f>
        <v/>
      </c>
      <c r="M39" s="14" t="str">
        <f aca="false">IF(I39="","",IF($B$4="Privat",0,IFERROR(INDEX(Gebühren!$B$2:$B$18,MATCH(C39,Gebühren!$A$2:$A$18,0)),0.14)))</f>
        <v/>
      </c>
      <c r="N39" s="13" t="str">
        <f aca="false">IF(I39="","",IF($B$4="Privat",0,IF(OR(IFERROR(INDEX(Gebühren!$C$2:$C$18,MATCH(C39,Gebühren!$A$2:$A$18,0)),0)=0,L39&lt;=IFERROR(INDEX(Gebühren!$C$2:$C$18,MATCH(C39,Gebühren!$A$2:$A$18,0)),0)),L39*M39,INDEX(Gebühren!$C$2:$C$18,MATCH(C39,Gebühren!$A$2:$A$18,0))*M39+(L39-INDEX(Gebühren!$C$2:$C$18,MATCH(C39,Gebühren!$A$2:$A$18,0)))*IFERROR(INDEX(Gebühren!$D$2:$D$18,MATCH(C39,Gebühren!$A$2:$A$18,0)),0.03))))</f>
        <v/>
      </c>
      <c r="O39" s="13" t="str">
        <f aca="false">IF(I39="","",IF($B$4="Privat",0,IF(L39&lt;=10,Gebühren!$B$21,Gebühren!$B$22)))</f>
        <v/>
      </c>
      <c r="P39" s="13" t="str">
        <f aca="false">IF(I39="","",IF($B$4="Privat",0,Gebühren!$B$23/MAX(1,$B$9)))</f>
        <v/>
      </c>
      <c r="Q39" s="13" t="str">
        <f aca="false">IF(I39="","",L39*IF(J39="",$B$8,J39))</f>
        <v/>
      </c>
      <c r="R39" s="13" t="str">
        <f aca="false">IF(I39="","",N39+O39+P39+Q39)</f>
        <v/>
      </c>
      <c r="S39" s="13" t="str">
        <f aca="false">IF(I39="","",IF($B$6="Ja",0,R39*0.19))</f>
        <v/>
      </c>
      <c r="T39" s="13" t="str">
        <f aca="false">IF(I39="","",L39-L39/(1+$B$5))</f>
        <v/>
      </c>
      <c r="U39" s="13" t="str">
        <f aca="false">IF(I39="","",D39+E39+F39+G39)</f>
        <v/>
      </c>
      <c r="V39" s="13" t="str">
        <f aca="false">IF(I39="","",U39*K39)</f>
        <v/>
      </c>
      <c r="W39" s="13" t="str">
        <f aca="false">IF(I39="","",L39-R39-S39-T39-U39-V39)</f>
        <v/>
      </c>
      <c r="X39" s="15" t="str">
        <f aca="false">IF(I39="","",IF(L39=0,0,W39/L39))</f>
        <v/>
      </c>
      <c r="Y39" s="15" t="str">
        <f aca="false">IF(I39="","",IF(D39=0,0,W39/D39))</f>
        <v/>
      </c>
      <c r="Z39" s="13" t="str">
        <f aca="false">IF(I39="","",IF(1-((M39+IF(J39="",$B$8,J39))*(1+IF($B$6="Ja",0,0.19))+$B$5/(1+$B$5))&lt;=0,"n/a",((O39+P39)*(1+IF($B$6="Ja",0,0.19))+U39+V39)/(1-((M39+IF(J39="",$B$8,J39))*(1+IF($B$6="Ja",0,0.19))+$B$5/(1+$B$5)))-H39))</f>
        <v/>
      </c>
      <c r="AA39" s="13" t="str">
        <f aca="false">IF(I39="","",IF(1-((M39+IF(J39="",$B$8,J39))*(1+IF($B$6="Ja",0,0.19))+$B$5/(1+$B$5))-$B$7&lt;=0,"n/a",((O39+P39)*(1+IF($B$6="Ja",0,0.19))+U39+V39)/(1-((M39+IF(J39="",$B$8,J39))*(1+IF($B$6="Ja",0,0.19))+$B$5/(1+$B$5))-$B$7)-H39))</f>
        <v/>
      </c>
      <c r="AB39" s="16" t="str">
        <f aca="false">IF(I39="","",IF(W39&lt;0,"Verlust",IF(X39&lt;$B$7,"unter Wunschmarge","ok")))</f>
        <v/>
      </c>
    </row>
    <row r="40" customFormat="false" ht="15" hidden="false" customHeight="false" outlineLevel="0" collapsed="false">
      <c r="A40" s="10" t="n">
        <v>28</v>
      </c>
      <c r="B40" s="10"/>
      <c r="C40" s="10"/>
      <c r="D40" s="11"/>
      <c r="E40" s="11"/>
      <c r="F40" s="11"/>
      <c r="G40" s="11"/>
      <c r="H40" s="11"/>
      <c r="I40" s="11"/>
      <c r="J40" s="12"/>
      <c r="K40" s="12"/>
      <c r="L40" s="13" t="str">
        <f aca="false">IF(I40="","",I40+H40)</f>
        <v/>
      </c>
      <c r="M40" s="14" t="str">
        <f aca="false">IF(I40="","",IF($B$4="Privat",0,IFERROR(INDEX(Gebühren!$B$2:$B$18,MATCH(C40,Gebühren!$A$2:$A$18,0)),0.14)))</f>
        <v/>
      </c>
      <c r="N40" s="13" t="str">
        <f aca="false">IF(I40="","",IF($B$4="Privat",0,IF(OR(IFERROR(INDEX(Gebühren!$C$2:$C$18,MATCH(C40,Gebühren!$A$2:$A$18,0)),0)=0,L40&lt;=IFERROR(INDEX(Gebühren!$C$2:$C$18,MATCH(C40,Gebühren!$A$2:$A$18,0)),0)),L40*M40,INDEX(Gebühren!$C$2:$C$18,MATCH(C40,Gebühren!$A$2:$A$18,0))*M40+(L40-INDEX(Gebühren!$C$2:$C$18,MATCH(C40,Gebühren!$A$2:$A$18,0)))*IFERROR(INDEX(Gebühren!$D$2:$D$18,MATCH(C40,Gebühren!$A$2:$A$18,0)),0.03))))</f>
        <v/>
      </c>
      <c r="O40" s="13" t="str">
        <f aca="false">IF(I40="","",IF($B$4="Privat",0,IF(L40&lt;=10,Gebühren!$B$21,Gebühren!$B$22)))</f>
        <v/>
      </c>
      <c r="P40" s="13" t="str">
        <f aca="false">IF(I40="","",IF($B$4="Privat",0,Gebühren!$B$23/MAX(1,$B$9)))</f>
        <v/>
      </c>
      <c r="Q40" s="13" t="str">
        <f aca="false">IF(I40="","",L40*IF(J40="",$B$8,J40))</f>
        <v/>
      </c>
      <c r="R40" s="13" t="str">
        <f aca="false">IF(I40="","",N40+O40+P40+Q40)</f>
        <v/>
      </c>
      <c r="S40" s="13" t="str">
        <f aca="false">IF(I40="","",IF($B$6="Ja",0,R40*0.19))</f>
        <v/>
      </c>
      <c r="T40" s="13" t="str">
        <f aca="false">IF(I40="","",L40-L40/(1+$B$5))</f>
        <v/>
      </c>
      <c r="U40" s="13" t="str">
        <f aca="false">IF(I40="","",D40+E40+F40+G40)</f>
        <v/>
      </c>
      <c r="V40" s="13" t="str">
        <f aca="false">IF(I40="","",U40*K40)</f>
        <v/>
      </c>
      <c r="W40" s="13" t="str">
        <f aca="false">IF(I40="","",L40-R40-S40-T40-U40-V40)</f>
        <v/>
      </c>
      <c r="X40" s="15" t="str">
        <f aca="false">IF(I40="","",IF(L40=0,0,W40/L40))</f>
        <v/>
      </c>
      <c r="Y40" s="15" t="str">
        <f aca="false">IF(I40="","",IF(D40=0,0,W40/D40))</f>
        <v/>
      </c>
      <c r="Z40" s="13" t="str">
        <f aca="false">IF(I40="","",IF(1-((M40+IF(J40="",$B$8,J40))*(1+IF($B$6="Ja",0,0.19))+$B$5/(1+$B$5))&lt;=0,"n/a",((O40+P40)*(1+IF($B$6="Ja",0,0.19))+U40+V40)/(1-((M40+IF(J40="",$B$8,J40))*(1+IF($B$6="Ja",0,0.19))+$B$5/(1+$B$5)))-H40))</f>
        <v/>
      </c>
      <c r="AA40" s="13" t="str">
        <f aca="false">IF(I40="","",IF(1-((M40+IF(J40="",$B$8,J40))*(1+IF($B$6="Ja",0,0.19))+$B$5/(1+$B$5))-$B$7&lt;=0,"n/a",((O40+P40)*(1+IF($B$6="Ja",0,0.19))+U40+V40)/(1-((M40+IF(J40="",$B$8,J40))*(1+IF($B$6="Ja",0,0.19))+$B$5/(1+$B$5))-$B$7)-H40))</f>
        <v/>
      </c>
      <c r="AB40" s="16" t="str">
        <f aca="false">IF(I40="","",IF(W40&lt;0,"Verlust",IF(X40&lt;$B$7,"unter Wunschmarge","ok")))</f>
        <v/>
      </c>
    </row>
    <row r="41" customFormat="false" ht="15" hidden="false" customHeight="false" outlineLevel="0" collapsed="false">
      <c r="A41" s="10" t="n">
        <v>29</v>
      </c>
      <c r="B41" s="10"/>
      <c r="C41" s="10"/>
      <c r="D41" s="11"/>
      <c r="E41" s="11"/>
      <c r="F41" s="11"/>
      <c r="G41" s="11"/>
      <c r="H41" s="11"/>
      <c r="I41" s="11"/>
      <c r="J41" s="12"/>
      <c r="K41" s="12"/>
      <c r="L41" s="13" t="str">
        <f aca="false">IF(I41="","",I41+H41)</f>
        <v/>
      </c>
      <c r="M41" s="14" t="str">
        <f aca="false">IF(I41="","",IF($B$4="Privat",0,IFERROR(INDEX(Gebühren!$B$2:$B$18,MATCH(C41,Gebühren!$A$2:$A$18,0)),0.14)))</f>
        <v/>
      </c>
      <c r="N41" s="13" t="str">
        <f aca="false">IF(I41="","",IF($B$4="Privat",0,IF(OR(IFERROR(INDEX(Gebühren!$C$2:$C$18,MATCH(C41,Gebühren!$A$2:$A$18,0)),0)=0,L41&lt;=IFERROR(INDEX(Gebühren!$C$2:$C$18,MATCH(C41,Gebühren!$A$2:$A$18,0)),0)),L41*M41,INDEX(Gebühren!$C$2:$C$18,MATCH(C41,Gebühren!$A$2:$A$18,0))*M41+(L41-INDEX(Gebühren!$C$2:$C$18,MATCH(C41,Gebühren!$A$2:$A$18,0)))*IFERROR(INDEX(Gebühren!$D$2:$D$18,MATCH(C41,Gebühren!$A$2:$A$18,0)),0.03))))</f>
        <v/>
      </c>
      <c r="O41" s="13" t="str">
        <f aca="false">IF(I41="","",IF($B$4="Privat",0,IF(L41&lt;=10,Gebühren!$B$21,Gebühren!$B$22)))</f>
        <v/>
      </c>
      <c r="P41" s="13" t="str">
        <f aca="false">IF(I41="","",IF($B$4="Privat",0,Gebühren!$B$23/MAX(1,$B$9)))</f>
        <v/>
      </c>
      <c r="Q41" s="13" t="str">
        <f aca="false">IF(I41="","",L41*IF(J41="",$B$8,J41))</f>
        <v/>
      </c>
      <c r="R41" s="13" t="str">
        <f aca="false">IF(I41="","",N41+O41+P41+Q41)</f>
        <v/>
      </c>
      <c r="S41" s="13" t="str">
        <f aca="false">IF(I41="","",IF($B$6="Ja",0,R41*0.19))</f>
        <v/>
      </c>
      <c r="T41" s="13" t="str">
        <f aca="false">IF(I41="","",L41-L41/(1+$B$5))</f>
        <v/>
      </c>
      <c r="U41" s="13" t="str">
        <f aca="false">IF(I41="","",D41+E41+F41+G41)</f>
        <v/>
      </c>
      <c r="V41" s="13" t="str">
        <f aca="false">IF(I41="","",U41*K41)</f>
        <v/>
      </c>
      <c r="W41" s="13" t="str">
        <f aca="false">IF(I41="","",L41-R41-S41-T41-U41-V41)</f>
        <v/>
      </c>
      <c r="X41" s="15" t="str">
        <f aca="false">IF(I41="","",IF(L41=0,0,W41/L41))</f>
        <v/>
      </c>
      <c r="Y41" s="15" t="str">
        <f aca="false">IF(I41="","",IF(D41=0,0,W41/D41))</f>
        <v/>
      </c>
      <c r="Z41" s="13" t="str">
        <f aca="false">IF(I41="","",IF(1-((M41+IF(J41="",$B$8,J41))*(1+IF($B$6="Ja",0,0.19))+$B$5/(1+$B$5))&lt;=0,"n/a",((O41+P41)*(1+IF($B$6="Ja",0,0.19))+U41+V41)/(1-((M41+IF(J41="",$B$8,J41))*(1+IF($B$6="Ja",0,0.19))+$B$5/(1+$B$5)))-H41))</f>
        <v/>
      </c>
      <c r="AA41" s="13" t="str">
        <f aca="false">IF(I41="","",IF(1-((M41+IF(J41="",$B$8,J41))*(1+IF($B$6="Ja",0,0.19))+$B$5/(1+$B$5))-$B$7&lt;=0,"n/a",((O41+P41)*(1+IF($B$6="Ja",0,0.19))+U41+V41)/(1-((M41+IF(J41="",$B$8,J41))*(1+IF($B$6="Ja",0,0.19))+$B$5/(1+$B$5))-$B$7)-H41))</f>
        <v/>
      </c>
      <c r="AB41" s="16" t="str">
        <f aca="false">IF(I41="","",IF(W41&lt;0,"Verlust",IF(X41&lt;$B$7,"unter Wunschmarge","ok")))</f>
        <v/>
      </c>
    </row>
    <row r="42" customFormat="false" ht="15" hidden="false" customHeight="false" outlineLevel="0" collapsed="false">
      <c r="A42" s="10" t="n">
        <v>30</v>
      </c>
      <c r="B42" s="10"/>
      <c r="C42" s="10"/>
      <c r="D42" s="11"/>
      <c r="E42" s="11"/>
      <c r="F42" s="11"/>
      <c r="G42" s="11"/>
      <c r="H42" s="11"/>
      <c r="I42" s="11"/>
      <c r="J42" s="12"/>
      <c r="K42" s="12"/>
      <c r="L42" s="13" t="str">
        <f aca="false">IF(I42="","",I42+H42)</f>
        <v/>
      </c>
      <c r="M42" s="14" t="str">
        <f aca="false">IF(I42="","",IF($B$4="Privat",0,IFERROR(INDEX(Gebühren!$B$2:$B$18,MATCH(C42,Gebühren!$A$2:$A$18,0)),0.14)))</f>
        <v/>
      </c>
      <c r="N42" s="13" t="str">
        <f aca="false">IF(I42="","",IF($B$4="Privat",0,IF(OR(IFERROR(INDEX(Gebühren!$C$2:$C$18,MATCH(C42,Gebühren!$A$2:$A$18,0)),0)=0,L42&lt;=IFERROR(INDEX(Gebühren!$C$2:$C$18,MATCH(C42,Gebühren!$A$2:$A$18,0)),0)),L42*M42,INDEX(Gebühren!$C$2:$C$18,MATCH(C42,Gebühren!$A$2:$A$18,0))*M42+(L42-INDEX(Gebühren!$C$2:$C$18,MATCH(C42,Gebühren!$A$2:$A$18,0)))*IFERROR(INDEX(Gebühren!$D$2:$D$18,MATCH(C42,Gebühren!$A$2:$A$18,0)),0.03))))</f>
        <v/>
      </c>
      <c r="O42" s="13" t="str">
        <f aca="false">IF(I42="","",IF($B$4="Privat",0,IF(L42&lt;=10,Gebühren!$B$21,Gebühren!$B$22)))</f>
        <v/>
      </c>
      <c r="P42" s="13" t="str">
        <f aca="false">IF(I42="","",IF($B$4="Privat",0,Gebühren!$B$23/MAX(1,$B$9)))</f>
        <v/>
      </c>
      <c r="Q42" s="13" t="str">
        <f aca="false">IF(I42="","",L42*IF(J42="",$B$8,J42))</f>
        <v/>
      </c>
      <c r="R42" s="13" t="str">
        <f aca="false">IF(I42="","",N42+O42+P42+Q42)</f>
        <v/>
      </c>
      <c r="S42" s="13" t="str">
        <f aca="false">IF(I42="","",IF($B$6="Ja",0,R42*0.19))</f>
        <v/>
      </c>
      <c r="T42" s="13" t="str">
        <f aca="false">IF(I42="","",L42-L42/(1+$B$5))</f>
        <v/>
      </c>
      <c r="U42" s="13" t="str">
        <f aca="false">IF(I42="","",D42+E42+F42+G42)</f>
        <v/>
      </c>
      <c r="V42" s="13" t="str">
        <f aca="false">IF(I42="","",U42*K42)</f>
        <v/>
      </c>
      <c r="W42" s="13" t="str">
        <f aca="false">IF(I42="","",L42-R42-S42-T42-U42-V42)</f>
        <v/>
      </c>
      <c r="X42" s="15" t="str">
        <f aca="false">IF(I42="","",IF(L42=0,0,W42/L42))</f>
        <v/>
      </c>
      <c r="Y42" s="15" t="str">
        <f aca="false">IF(I42="","",IF(D42=0,0,W42/D42))</f>
        <v/>
      </c>
      <c r="Z42" s="13" t="str">
        <f aca="false">IF(I42="","",IF(1-((M42+IF(J42="",$B$8,J42))*(1+IF($B$6="Ja",0,0.19))+$B$5/(1+$B$5))&lt;=0,"n/a",((O42+P42)*(1+IF($B$6="Ja",0,0.19))+U42+V42)/(1-((M42+IF(J42="",$B$8,J42))*(1+IF($B$6="Ja",0,0.19))+$B$5/(1+$B$5)))-H42))</f>
        <v/>
      </c>
      <c r="AA42" s="13" t="str">
        <f aca="false">IF(I42="","",IF(1-((M42+IF(J42="",$B$8,J42))*(1+IF($B$6="Ja",0,0.19))+$B$5/(1+$B$5))-$B$7&lt;=0,"n/a",((O42+P42)*(1+IF($B$6="Ja",0,0.19))+U42+V42)/(1-((M42+IF(J42="",$B$8,J42))*(1+IF($B$6="Ja",0,0.19))+$B$5/(1+$B$5))-$B$7)-H42))</f>
        <v/>
      </c>
      <c r="AB42" s="16" t="str">
        <f aca="false">IF(I42="","",IF(W42&lt;0,"Verlust",IF(X42&lt;$B$7,"unter Wunschmarge","ok")))</f>
        <v/>
      </c>
    </row>
    <row r="43" customFormat="false" ht="15" hidden="false" customHeight="false" outlineLevel="0" collapsed="false">
      <c r="A43" s="10" t="n">
        <v>31</v>
      </c>
      <c r="B43" s="10"/>
      <c r="C43" s="10"/>
      <c r="D43" s="11"/>
      <c r="E43" s="11"/>
      <c r="F43" s="11"/>
      <c r="G43" s="11"/>
      <c r="H43" s="11"/>
      <c r="I43" s="11"/>
      <c r="J43" s="12"/>
      <c r="K43" s="12"/>
      <c r="L43" s="13" t="str">
        <f aca="false">IF(I43="","",I43+H43)</f>
        <v/>
      </c>
      <c r="M43" s="14" t="str">
        <f aca="false">IF(I43="","",IF($B$4="Privat",0,IFERROR(INDEX(Gebühren!$B$2:$B$18,MATCH(C43,Gebühren!$A$2:$A$18,0)),0.14)))</f>
        <v/>
      </c>
      <c r="N43" s="13" t="str">
        <f aca="false">IF(I43="","",IF($B$4="Privat",0,IF(OR(IFERROR(INDEX(Gebühren!$C$2:$C$18,MATCH(C43,Gebühren!$A$2:$A$18,0)),0)=0,L43&lt;=IFERROR(INDEX(Gebühren!$C$2:$C$18,MATCH(C43,Gebühren!$A$2:$A$18,0)),0)),L43*M43,INDEX(Gebühren!$C$2:$C$18,MATCH(C43,Gebühren!$A$2:$A$18,0))*M43+(L43-INDEX(Gebühren!$C$2:$C$18,MATCH(C43,Gebühren!$A$2:$A$18,0)))*IFERROR(INDEX(Gebühren!$D$2:$D$18,MATCH(C43,Gebühren!$A$2:$A$18,0)),0.03))))</f>
        <v/>
      </c>
      <c r="O43" s="13" t="str">
        <f aca="false">IF(I43="","",IF($B$4="Privat",0,IF(L43&lt;=10,Gebühren!$B$21,Gebühren!$B$22)))</f>
        <v/>
      </c>
      <c r="P43" s="13" t="str">
        <f aca="false">IF(I43="","",IF($B$4="Privat",0,Gebühren!$B$23/MAX(1,$B$9)))</f>
        <v/>
      </c>
      <c r="Q43" s="13" t="str">
        <f aca="false">IF(I43="","",L43*IF(J43="",$B$8,J43))</f>
        <v/>
      </c>
      <c r="R43" s="13" t="str">
        <f aca="false">IF(I43="","",N43+O43+P43+Q43)</f>
        <v/>
      </c>
      <c r="S43" s="13" t="str">
        <f aca="false">IF(I43="","",IF($B$6="Ja",0,R43*0.19))</f>
        <v/>
      </c>
      <c r="T43" s="13" t="str">
        <f aca="false">IF(I43="","",L43-L43/(1+$B$5))</f>
        <v/>
      </c>
      <c r="U43" s="13" t="str">
        <f aca="false">IF(I43="","",D43+E43+F43+G43)</f>
        <v/>
      </c>
      <c r="V43" s="13" t="str">
        <f aca="false">IF(I43="","",U43*K43)</f>
        <v/>
      </c>
      <c r="W43" s="13" t="str">
        <f aca="false">IF(I43="","",L43-R43-S43-T43-U43-V43)</f>
        <v/>
      </c>
      <c r="X43" s="15" t="str">
        <f aca="false">IF(I43="","",IF(L43=0,0,W43/L43))</f>
        <v/>
      </c>
      <c r="Y43" s="15" t="str">
        <f aca="false">IF(I43="","",IF(D43=0,0,W43/D43))</f>
        <v/>
      </c>
      <c r="Z43" s="13" t="str">
        <f aca="false">IF(I43="","",IF(1-((M43+IF(J43="",$B$8,J43))*(1+IF($B$6="Ja",0,0.19))+$B$5/(1+$B$5))&lt;=0,"n/a",((O43+P43)*(1+IF($B$6="Ja",0,0.19))+U43+V43)/(1-((M43+IF(J43="",$B$8,J43))*(1+IF($B$6="Ja",0,0.19))+$B$5/(1+$B$5)))-H43))</f>
        <v/>
      </c>
      <c r="AA43" s="13" t="str">
        <f aca="false">IF(I43="","",IF(1-((M43+IF(J43="",$B$8,J43))*(1+IF($B$6="Ja",0,0.19))+$B$5/(1+$B$5))-$B$7&lt;=0,"n/a",((O43+P43)*(1+IF($B$6="Ja",0,0.19))+U43+V43)/(1-((M43+IF(J43="",$B$8,J43))*(1+IF($B$6="Ja",0,0.19))+$B$5/(1+$B$5))-$B$7)-H43))</f>
        <v/>
      </c>
      <c r="AB43" s="16" t="str">
        <f aca="false">IF(I43="","",IF(W43&lt;0,"Verlust",IF(X43&lt;$B$7,"unter Wunschmarge","ok")))</f>
        <v/>
      </c>
    </row>
    <row r="44" customFormat="false" ht="15" hidden="false" customHeight="false" outlineLevel="0" collapsed="false">
      <c r="A44" s="10" t="n">
        <v>32</v>
      </c>
      <c r="B44" s="10"/>
      <c r="C44" s="10"/>
      <c r="D44" s="11"/>
      <c r="E44" s="11"/>
      <c r="F44" s="11"/>
      <c r="G44" s="11"/>
      <c r="H44" s="11"/>
      <c r="I44" s="11"/>
      <c r="J44" s="12"/>
      <c r="K44" s="12"/>
      <c r="L44" s="13" t="str">
        <f aca="false">IF(I44="","",I44+H44)</f>
        <v/>
      </c>
      <c r="M44" s="14" t="str">
        <f aca="false">IF(I44="","",IF($B$4="Privat",0,IFERROR(INDEX(Gebühren!$B$2:$B$18,MATCH(C44,Gebühren!$A$2:$A$18,0)),0.14)))</f>
        <v/>
      </c>
      <c r="N44" s="13" t="str">
        <f aca="false">IF(I44="","",IF($B$4="Privat",0,IF(OR(IFERROR(INDEX(Gebühren!$C$2:$C$18,MATCH(C44,Gebühren!$A$2:$A$18,0)),0)=0,L44&lt;=IFERROR(INDEX(Gebühren!$C$2:$C$18,MATCH(C44,Gebühren!$A$2:$A$18,0)),0)),L44*M44,INDEX(Gebühren!$C$2:$C$18,MATCH(C44,Gebühren!$A$2:$A$18,0))*M44+(L44-INDEX(Gebühren!$C$2:$C$18,MATCH(C44,Gebühren!$A$2:$A$18,0)))*IFERROR(INDEX(Gebühren!$D$2:$D$18,MATCH(C44,Gebühren!$A$2:$A$18,0)),0.03))))</f>
        <v/>
      </c>
      <c r="O44" s="13" t="str">
        <f aca="false">IF(I44="","",IF($B$4="Privat",0,IF(L44&lt;=10,Gebühren!$B$21,Gebühren!$B$22)))</f>
        <v/>
      </c>
      <c r="P44" s="13" t="str">
        <f aca="false">IF(I44="","",IF($B$4="Privat",0,Gebühren!$B$23/MAX(1,$B$9)))</f>
        <v/>
      </c>
      <c r="Q44" s="13" t="str">
        <f aca="false">IF(I44="","",L44*IF(J44="",$B$8,J44))</f>
        <v/>
      </c>
      <c r="R44" s="13" t="str">
        <f aca="false">IF(I44="","",N44+O44+P44+Q44)</f>
        <v/>
      </c>
      <c r="S44" s="13" t="str">
        <f aca="false">IF(I44="","",IF($B$6="Ja",0,R44*0.19))</f>
        <v/>
      </c>
      <c r="T44" s="13" t="str">
        <f aca="false">IF(I44="","",L44-L44/(1+$B$5))</f>
        <v/>
      </c>
      <c r="U44" s="13" t="str">
        <f aca="false">IF(I44="","",D44+E44+F44+G44)</f>
        <v/>
      </c>
      <c r="V44" s="13" t="str">
        <f aca="false">IF(I44="","",U44*K44)</f>
        <v/>
      </c>
      <c r="W44" s="13" t="str">
        <f aca="false">IF(I44="","",L44-R44-S44-T44-U44-V44)</f>
        <v/>
      </c>
      <c r="X44" s="15" t="str">
        <f aca="false">IF(I44="","",IF(L44=0,0,W44/L44))</f>
        <v/>
      </c>
      <c r="Y44" s="15" t="str">
        <f aca="false">IF(I44="","",IF(D44=0,0,W44/D44))</f>
        <v/>
      </c>
      <c r="Z44" s="13" t="str">
        <f aca="false">IF(I44="","",IF(1-((M44+IF(J44="",$B$8,J44))*(1+IF($B$6="Ja",0,0.19))+$B$5/(1+$B$5))&lt;=0,"n/a",((O44+P44)*(1+IF($B$6="Ja",0,0.19))+U44+V44)/(1-((M44+IF(J44="",$B$8,J44))*(1+IF($B$6="Ja",0,0.19))+$B$5/(1+$B$5)))-H44))</f>
        <v/>
      </c>
      <c r="AA44" s="13" t="str">
        <f aca="false">IF(I44="","",IF(1-((M44+IF(J44="",$B$8,J44))*(1+IF($B$6="Ja",0,0.19))+$B$5/(1+$B$5))-$B$7&lt;=0,"n/a",((O44+P44)*(1+IF($B$6="Ja",0,0.19))+U44+V44)/(1-((M44+IF(J44="",$B$8,J44))*(1+IF($B$6="Ja",0,0.19))+$B$5/(1+$B$5))-$B$7)-H44))</f>
        <v/>
      </c>
      <c r="AB44" s="16" t="str">
        <f aca="false">IF(I44="","",IF(W44&lt;0,"Verlust",IF(X44&lt;$B$7,"unter Wunschmarge","ok")))</f>
        <v/>
      </c>
    </row>
    <row r="45" customFormat="false" ht="15" hidden="false" customHeight="false" outlineLevel="0" collapsed="false">
      <c r="A45" s="10" t="n">
        <v>33</v>
      </c>
      <c r="B45" s="10"/>
      <c r="C45" s="10"/>
      <c r="D45" s="11"/>
      <c r="E45" s="11"/>
      <c r="F45" s="11"/>
      <c r="G45" s="11"/>
      <c r="H45" s="11"/>
      <c r="I45" s="11"/>
      <c r="J45" s="12"/>
      <c r="K45" s="12"/>
      <c r="L45" s="13" t="str">
        <f aca="false">IF(I45="","",I45+H45)</f>
        <v/>
      </c>
      <c r="M45" s="14" t="str">
        <f aca="false">IF(I45="","",IF($B$4="Privat",0,IFERROR(INDEX(Gebühren!$B$2:$B$18,MATCH(C45,Gebühren!$A$2:$A$18,0)),0.14)))</f>
        <v/>
      </c>
      <c r="N45" s="13" t="str">
        <f aca="false">IF(I45="","",IF($B$4="Privat",0,IF(OR(IFERROR(INDEX(Gebühren!$C$2:$C$18,MATCH(C45,Gebühren!$A$2:$A$18,0)),0)=0,L45&lt;=IFERROR(INDEX(Gebühren!$C$2:$C$18,MATCH(C45,Gebühren!$A$2:$A$18,0)),0)),L45*M45,INDEX(Gebühren!$C$2:$C$18,MATCH(C45,Gebühren!$A$2:$A$18,0))*M45+(L45-INDEX(Gebühren!$C$2:$C$18,MATCH(C45,Gebühren!$A$2:$A$18,0)))*IFERROR(INDEX(Gebühren!$D$2:$D$18,MATCH(C45,Gebühren!$A$2:$A$18,0)),0.03))))</f>
        <v/>
      </c>
      <c r="O45" s="13" t="str">
        <f aca="false">IF(I45="","",IF($B$4="Privat",0,IF(L45&lt;=10,Gebühren!$B$21,Gebühren!$B$22)))</f>
        <v/>
      </c>
      <c r="P45" s="13" t="str">
        <f aca="false">IF(I45="","",IF($B$4="Privat",0,Gebühren!$B$23/MAX(1,$B$9)))</f>
        <v/>
      </c>
      <c r="Q45" s="13" t="str">
        <f aca="false">IF(I45="","",L45*IF(J45="",$B$8,J45))</f>
        <v/>
      </c>
      <c r="R45" s="13" t="str">
        <f aca="false">IF(I45="","",N45+O45+P45+Q45)</f>
        <v/>
      </c>
      <c r="S45" s="13" t="str">
        <f aca="false">IF(I45="","",IF($B$6="Ja",0,R45*0.19))</f>
        <v/>
      </c>
      <c r="T45" s="13" t="str">
        <f aca="false">IF(I45="","",L45-L45/(1+$B$5))</f>
        <v/>
      </c>
      <c r="U45" s="13" t="str">
        <f aca="false">IF(I45="","",D45+E45+F45+G45)</f>
        <v/>
      </c>
      <c r="V45" s="13" t="str">
        <f aca="false">IF(I45="","",U45*K45)</f>
        <v/>
      </c>
      <c r="W45" s="13" t="str">
        <f aca="false">IF(I45="","",L45-R45-S45-T45-U45-V45)</f>
        <v/>
      </c>
      <c r="X45" s="15" t="str">
        <f aca="false">IF(I45="","",IF(L45=0,0,W45/L45))</f>
        <v/>
      </c>
      <c r="Y45" s="15" t="str">
        <f aca="false">IF(I45="","",IF(D45=0,0,W45/D45))</f>
        <v/>
      </c>
      <c r="Z45" s="13" t="str">
        <f aca="false">IF(I45="","",IF(1-((M45+IF(J45="",$B$8,J45))*(1+IF($B$6="Ja",0,0.19))+$B$5/(1+$B$5))&lt;=0,"n/a",((O45+P45)*(1+IF($B$6="Ja",0,0.19))+U45+V45)/(1-((M45+IF(J45="",$B$8,J45))*(1+IF($B$6="Ja",0,0.19))+$B$5/(1+$B$5)))-H45))</f>
        <v/>
      </c>
      <c r="AA45" s="13" t="str">
        <f aca="false">IF(I45="","",IF(1-((M45+IF(J45="",$B$8,J45))*(1+IF($B$6="Ja",0,0.19))+$B$5/(1+$B$5))-$B$7&lt;=0,"n/a",((O45+P45)*(1+IF($B$6="Ja",0,0.19))+U45+V45)/(1-((M45+IF(J45="",$B$8,J45))*(1+IF($B$6="Ja",0,0.19))+$B$5/(1+$B$5))-$B$7)-H45))</f>
        <v/>
      </c>
      <c r="AB45" s="16" t="str">
        <f aca="false">IF(I45="","",IF(W45&lt;0,"Verlust",IF(X45&lt;$B$7,"unter Wunschmarge","ok")))</f>
        <v/>
      </c>
    </row>
    <row r="46" customFormat="false" ht="15" hidden="false" customHeight="false" outlineLevel="0" collapsed="false">
      <c r="A46" s="10" t="n">
        <v>34</v>
      </c>
      <c r="B46" s="10"/>
      <c r="C46" s="10"/>
      <c r="D46" s="11"/>
      <c r="E46" s="11"/>
      <c r="F46" s="11"/>
      <c r="G46" s="11"/>
      <c r="H46" s="11"/>
      <c r="I46" s="11"/>
      <c r="J46" s="12"/>
      <c r="K46" s="12"/>
      <c r="L46" s="13" t="str">
        <f aca="false">IF(I46="","",I46+H46)</f>
        <v/>
      </c>
      <c r="M46" s="14" t="str">
        <f aca="false">IF(I46="","",IF($B$4="Privat",0,IFERROR(INDEX(Gebühren!$B$2:$B$18,MATCH(C46,Gebühren!$A$2:$A$18,0)),0.14)))</f>
        <v/>
      </c>
      <c r="N46" s="13" t="str">
        <f aca="false">IF(I46="","",IF($B$4="Privat",0,IF(OR(IFERROR(INDEX(Gebühren!$C$2:$C$18,MATCH(C46,Gebühren!$A$2:$A$18,0)),0)=0,L46&lt;=IFERROR(INDEX(Gebühren!$C$2:$C$18,MATCH(C46,Gebühren!$A$2:$A$18,0)),0)),L46*M46,INDEX(Gebühren!$C$2:$C$18,MATCH(C46,Gebühren!$A$2:$A$18,0))*M46+(L46-INDEX(Gebühren!$C$2:$C$18,MATCH(C46,Gebühren!$A$2:$A$18,0)))*IFERROR(INDEX(Gebühren!$D$2:$D$18,MATCH(C46,Gebühren!$A$2:$A$18,0)),0.03))))</f>
        <v/>
      </c>
      <c r="O46" s="13" t="str">
        <f aca="false">IF(I46="","",IF($B$4="Privat",0,IF(L46&lt;=10,Gebühren!$B$21,Gebühren!$B$22)))</f>
        <v/>
      </c>
      <c r="P46" s="13" t="str">
        <f aca="false">IF(I46="","",IF($B$4="Privat",0,Gebühren!$B$23/MAX(1,$B$9)))</f>
        <v/>
      </c>
      <c r="Q46" s="13" t="str">
        <f aca="false">IF(I46="","",L46*IF(J46="",$B$8,J46))</f>
        <v/>
      </c>
      <c r="R46" s="13" t="str">
        <f aca="false">IF(I46="","",N46+O46+P46+Q46)</f>
        <v/>
      </c>
      <c r="S46" s="13" t="str">
        <f aca="false">IF(I46="","",IF($B$6="Ja",0,R46*0.19))</f>
        <v/>
      </c>
      <c r="T46" s="13" t="str">
        <f aca="false">IF(I46="","",L46-L46/(1+$B$5))</f>
        <v/>
      </c>
      <c r="U46" s="13" t="str">
        <f aca="false">IF(I46="","",D46+E46+F46+G46)</f>
        <v/>
      </c>
      <c r="V46" s="13" t="str">
        <f aca="false">IF(I46="","",U46*K46)</f>
        <v/>
      </c>
      <c r="W46" s="13" t="str">
        <f aca="false">IF(I46="","",L46-R46-S46-T46-U46-V46)</f>
        <v/>
      </c>
      <c r="X46" s="15" t="str">
        <f aca="false">IF(I46="","",IF(L46=0,0,W46/L46))</f>
        <v/>
      </c>
      <c r="Y46" s="15" t="str">
        <f aca="false">IF(I46="","",IF(D46=0,0,W46/D46))</f>
        <v/>
      </c>
      <c r="Z46" s="13" t="str">
        <f aca="false">IF(I46="","",IF(1-((M46+IF(J46="",$B$8,J46))*(1+IF($B$6="Ja",0,0.19))+$B$5/(1+$B$5))&lt;=0,"n/a",((O46+P46)*(1+IF($B$6="Ja",0,0.19))+U46+V46)/(1-((M46+IF(J46="",$B$8,J46))*(1+IF($B$6="Ja",0,0.19))+$B$5/(1+$B$5)))-H46))</f>
        <v/>
      </c>
      <c r="AA46" s="13" t="str">
        <f aca="false">IF(I46="","",IF(1-((M46+IF(J46="",$B$8,J46))*(1+IF($B$6="Ja",0,0.19))+$B$5/(1+$B$5))-$B$7&lt;=0,"n/a",((O46+P46)*(1+IF($B$6="Ja",0,0.19))+U46+V46)/(1-((M46+IF(J46="",$B$8,J46))*(1+IF($B$6="Ja",0,0.19))+$B$5/(1+$B$5))-$B$7)-H46))</f>
        <v/>
      </c>
      <c r="AB46" s="16" t="str">
        <f aca="false">IF(I46="","",IF(W46&lt;0,"Verlust",IF(X46&lt;$B$7,"unter Wunschmarge","ok")))</f>
        <v/>
      </c>
    </row>
    <row r="47" customFormat="false" ht="15" hidden="false" customHeight="false" outlineLevel="0" collapsed="false">
      <c r="A47" s="10" t="n">
        <v>35</v>
      </c>
      <c r="B47" s="10"/>
      <c r="C47" s="10"/>
      <c r="D47" s="11"/>
      <c r="E47" s="11"/>
      <c r="F47" s="11"/>
      <c r="G47" s="11"/>
      <c r="H47" s="11"/>
      <c r="I47" s="11"/>
      <c r="J47" s="12"/>
      <c r="K47" s="12"/>
      <c r="L47" s="13" t="str">
        <f aca="false">IF(I47="","",I47+H47)</f>
        <v/>
      </c>
      <c r="M47" s="14" t="str">
        <f aca="false">IF(I47="","",IF($B$4="Privat",0,IFERROR(INDEX(Gebühren!$B$2:$B$18,MATCH(C47,Gebühren!$A$2:$A$18,0)),0.14)))</f>
        <v/>
      </c>
      <c r="N47" s="13" t="str">
        <f aca="false">IF(I47="","",IF($B$4="Privat",0,IF(OR(IFERROR(INDEX(Gebühren!$C$2:$C$18,MATCH(C47,Gebühren!$A$2:$A$18,0)),0)=0,L47&lt;=IFERROR(INDEX(Gebühren!$C$2:$C$18,MATCH(C47,Gebühren!$A$2:$A$18,0)),0)),L47*M47,INDEX(Gebühren!$C$2:$C$18,MATCH(C47,Gebühren!$A$2:$A$18,0))*M47+(L47-INDEX(Gebühren!$C$2:$C$18,MATCH(C47,Gebühren!$A$2:$A$18,0)))*IFERROR(INDEX(Gebühren!$D$2:$D$18,MATCH(C47,Gebühren!$A$2:$A$18,0)),0.03))))</f>
        <v/>
      </c>
      <c r="O47" s="13" t="str">
        <f aca="false">IF(I47="","",IF($B$4="Privat",0,IF(L47&lt;=10,Gebühren!$B$21,Gebühren!$B$22)))</f>
        <v/>
      </c>
      <c r="P47" s="13" t="str">
        <f aca="false">IF(I47="","",IF($B$4="Privat",0,Gebühren!$B$23/MAX(1,$B$9)))</f>
        <v/>
      </c>
      <c r="Q47" s="13" t="str">
        <f aca="false">IF(I47="","",L47*IF(J47="",$B$8,J47))</f>
        <v/>
      </c>
      <c r="R47" s="13" t="str">
        <f aca="false">IF(I47="","",N47+O47+P47+Q47)</f>
        <v/>
      </c>
      <c r="S47" s="13" t="str">
        <f aca="false">IF(I47="","",IF($B$6="Ja",0,R47*0.19))</f>
        <v/>
      </c>
      <c r="T47" s="13" t="str">
        <f aca="false">IF(I47="","",L47-L47/(1+$B$5))</f>
        <v/>
      </c>
      <c r="U47" s="13" t="str">
        <f aca="false">IF(I47="","",D47+E47+F47+G47)</f>
        <v/>
      </c>
      <c r="V47" s="13" t="str">
        <f aca="false">IF(I47="","",U47*K47)</f>
        <v/>
      </c>
      <c r="W47" s="13" t="str">
        <f aca="false">IF(I47="","",L47-R47-S47-T47-U47-V47)</f>
        <v/>
      </c>
      <c r="X47" s="15" t="str">
        <f aca="false">IF(I47="","",IF(L47=0,0,W47/L47))</f>
        <v/>
      </c>
      <c r="Y47" s="15" t="str">
        <f aca="false">IF(I47="","",IF(D47=0,0,W47/D47))</f>
        <v/>
      </c>
      <c r="Z47" s="13" t="str">
        <f aca="false">IF(I47="","",IF(1-((M47+IF(J47="",$B$8,J47))*(1+IF($B$6="Ja",0,0.19))+$B$5/(1+$B$5))&lt;=0,"n/a",((O47+P47)*(1+IF($B$6="Ja",0,0.19))+U47+V47)/(1-((M47+IF(J47="",$B$8,J47))*(1+IF($B$6="Ja",0,0.19))+$B$5/(1+$B$5)))-H47))</f>
        <v/>
      </c>
      <c r="AA47" s="13" t="str">
        <f aca="false">IF(I47="","",IF(1-((M47+IF(J47="",$B$8,J47))*(1+IF($B$6="Ja",0,0.19))+$B$5/(1+$B$5))-$B$7&lt;=0,"n/a",((O47+P47)*(1+IF($B$6="Ja",0,0.19))+U47+V47)/(1-((M47+IF(J47="",$B$8,J47))*(1+IF($B$6="Ja",0,0.19))+$B$5/(1+$B$5))-$B$7)-H47))</f>
        <v/>
      </c>
      <c r="AB47" s="16" t="str">
        <f aca="false">IF(I47="","",IF(W47&lt;0,"Verlust",IF(X47&lt;$B$7,"unter Wunschmarge","ok")))</f>
        <v/>
      </c>
    </row>
    <row r="48" customFormat="false" ht="15" hidden="false" customHeight="false" outlineLevel="0" collapsed="false">
      <c r="A48" s="10" t="n">
        <v>36</v>
      </c>
      <c r="B48" s="10"/>
      <c r="C48" s="10"/>
      <c r="D48" s="11"/>
      <c r="E48" s="11"/>
      <c r="F48" s="11"/>
      <c r="G48" s="11"/>
      <c r="H48" s="11"/>
      <c r="I48" s="11"/>
      <c r="J48" s="12"/>
      <c r="K48" s="12"/>
      <c r="L48" s="13" t="str">
        <f aca="false">IF(I48="","",I48+H48)</f>
        <v/>
      </c>
      <c r="M48" s="14" t="str">
        <f aca="false">IF(I48="","",IF($B$4="Privat",0,IFERROR(INDEX(Gebühren!$B$2:$B$18,MATCH(C48,Gebühren!$A$2:$A$18,0)),0.14)))</f>
        <v/>
      </c>
      <c r="N48" s="13" t="str">
        <f aca="false">IF(I48="","",IF($B$4="Privat",0,IF(OR(IFERROR(INDEX(Gebühren!$C$2:$C$18,MATCH(C48,Gebühren!$A$2:$A$18,0)),0)=0,L48&lt;=IFERROR(INDEX(Gebühren!$C$2:$C$18,MATCH(C48,Gebühren!$A$2:$A$18,0)),0)),L48*M48,INDEX(Gebühren!$C$2:$C$18,MATCH(C48,Gebühren!$A$2:$A$18,0))*M48+(L48-INDEX(Gebühren!$C$2:$C$18,MATCH(C48,Gebühren!$A$2:$A$18,0)))*IFERROR(INDEX(Gebühren!$D$2:$D$18,MATCH(C48,Gebühren!$A$2:$A$18,0)),0.03))))</f>
        <v/>
      </c>
      <c r="O48" s="13" t="str">
        <f aca="false">IF(I48="","",IF($B$4="Privat",0,IF(L48&lt;=10,Gebühren!$B$21,Gebühren!$B$22)))</f>
        <v/>
      </c>
      <c r="P48" s="13" t="str">
        <f aca="false">IF(I48="","",IF($B$4="Privat",0,Gebühren!$B$23/MAX(1,$B$9)))</f>
        <v/>
      </c>
      <c r="Q48" s="13" t="str">
        <f aca="false">IF(I48="","",L48*IF(J48="",$B$8,J48))</f>
        <v/>
      </c>
      <c r="R48" s="13" t="str">
        <f aca="false">IF(I48="","",N48+O48+P48+Q48)</f>
        <v/>
      </c>
      <c r="S48" s="13" t="str">
        <f aca="false">IF(I48="","",IF($B$6="Ja",0,R48*0.19))</f>
        <v/>
      </c>
      <c r="T48" s="13" t="str">
        <f aca="false">IF(I48="","",L48-L48/(1+$B$5))</f>
        <v/>
      </c>
      <c r="U48" s="13" t="str">
        <f aca="false">IF(I48="","",D48+E48+F48+G48)</f>
        <v/>
      </c>
      <c r="V48" s="13" t="str">
        <f aca="false">IF(I48="","",U48*K48)</f>
        <v/>
      </c>
      <c r="W48" s="13" t="str">
        <f aca="false">IF(I48="","",L48-R48-S48-T48-U48-V48)</f>
        <v/>
      </c>
      <c r="X48" s="15" t="str">
        <f aca="false">IF(I48="","",IF(L48=0,0,W48/L48))</f>
        <v/>
      </c>
      <c r="Y48" s="15" t="str">
        <f aca="false">IF(I48="","",IF(D48=0,0,W48/D48))</f>
        <v/>
      </c>
      <c r="Z48" s="13" t="str">
        <f aca="false">IF(I48="","",IF(1-((M48+IF(J48="",$B$8,J48))*(1+IF($B$6="Ja",0,0.19))+$B$5/(1+$B$5))&lt;=0,"n/a",((O48+P48)*(1+IF($B$6="Ja",0,0.19))+U48+V48)/(1-((M48+IF(J48="",$B$8,J48))*(1+IF($B$6="Ja",0,0.19))+$B$5/(1+$B$5)))-H48))</f>
        <v/>
      </c>
      <c r="AA48" s="13" t="str">
        <f aca="false">IF(I48="","",IF(1-((M48+IF(J48="",$B$8,J48))*(1+IF($B$6="Ja",0,0.19))+$B$5/(1+$B$5))-$B$7&lt;=0,"n/a",((O48+P48)*(1+IF($B$6="Ja",0,0.19))+U48+V48)/(1-((M48+IF(J48="",$B$8,J48))*(1+IF($B$6="Ja",0,0.19))+$B$5/(1+$B$5))-$B$7)-H48))</f>
        <v/>
      </c>
      <c r="AB48" s="16" t="str">
        <f aca="false">IF(I48="","",IF(W48&lt;0,"Verlust",IF(X48&lt;$B$7,"unter Wunschmarge","ok")))</f>
        <v/>
      </c>
    </row>
    <row r="49" customFormat="false" ht="15" hidden="false" customHeight="false" outlineLevel="0" collapsed="false">
      <c r="A49" s="10" t="n">
        <v>37</v>
      </c>
      <c r="B49" s="10"/>
      <c r="C49" s="10"/>
      <c r="D49" s="11"/>
      <c r="E49" s="11"/>
      <c r="F49" s="11"/>
      <c r="G49" s="11"/>
      <c r="H49" s="11"/>
      <c r="I49" s="11"/>
      <c r="J49" s="12"/>
      <c r="K49" s="12"/>
      <c r="L49" s="13" t="str">
        <f aca="false">IF(I49="","",I49+H49)</f>
        <v/>
      </c>
      <c r="M49" s="14" t="str">
        <f aca="false">IF(I49="","",IF($B$4="Privat",0,IFERROR(INDEX(Gebühren!$B$2:$B$18,MATCH(C49,Gebühren!$A$2:$A$18,0)),0.14)))</f>
        <v/>
      </c>
      <c r="N49" s="13" t="str">
        <f aca="false">IF(I49="","",IF($B$4="Privat",0,IF(OR(IFERROR(INDEX(Gebühren!$C$2:$C$18,MATCH(C49,Gebühren!$A$2:$A$18,0)),0)=0,L49&lt;=IFERROR(INDEX(Gebühren!$C$2:$C$18,MATCH(C49,Gebühren!$A$2:$A$18,0)),0)),L49*M49,INDEX(Gebühren!$C$2:$C$18,MATCH(C49,Gebühren!$A$2:$A$18,0))*M49+(L49-INDEX(Gebühren!$C$2:$C$18,MATCH(C49,Gebühren!$A$2:$A$18,0)))*IFERROR(INDEX(Gebühren!$D$2:$D$18,MATCH(C49,Gebühren!$A$2:$A$18,0)),0.03))))</f>
        <v/>
      </c>
      <c r="O49" s="13" t="str">
        <f aca="false">IF(I49="","",IF($B$4="Privat",0,IF(L49&lt;=10,Gebühren!$B$21,Gebühren!$B$22)))</f>
        <v/>
      </c>
      <c r="P49" s="13" t="str">
        <f aca="false">IF(I49="","",IF($B$4="Privat",0,Gebühren!$B$23/MAX(1,$B$9)))</f>
        <v/>
      </c>
      <c r="Q49" s="13" t="str">
        <f aca="false">IF(I49="","",L49*IF(J49="",$B$8,J49))</f>
        <v/>
      </c>
      <c r="R49" s="13" t="str">
        <f aca="false">IF(I49="","",N49+O49+P49+Q49)</f>
        <v/>
      </c>
      <c r="S49" s="13" t="str">
        <f aca="false">IF(I49="","",IF($B$6="Ja",0,R49*0.19))</f>
        <v/>
      </c>
      <c r="T49" s="13" t="str">
        <f aca="false">IF(I49="","",L49-L49/(1+$B$5))</f>
        <v/>
      </c>
      <c r="U49" s="13" t="str">
        <f aca="false">IF(I49="","",D49+E49+F49+G49)</f>
        <v/>
      </c>
      <c r="V49" s="13" t="str">
        <f aca="false">IF(I49="","",U49*K49)</f>
        <v/>
      </c>
      <c r="W49" s="13" t="str">
        <f aca="false">IF(I49="","",L49-R49-S49-T49-U49-V49)</f>
        <v/>
      </c>
      <c r="X49" s="15" t="str">
        <f aca="false">IF(I49="","",IF(L49=0,0,W49/L49))</f>
        <v/>
      </c>
      <c r="Y49" s="15" t="str">
        <f aca="false">IF(I49="","",IF(D49=0,0,W49/D49))</f>
        <v/>
      </c>
      <c r="Z49" s="13" t="str">
        <f aca="false">IF(I49="","",IF(1-((M49+IF(J49="",$B$8,J49))*(1+IF($B$6="Ja",0,0.19))+$B$5/(1+$B$5))&lt;=0,"n/a",((O49+P49)*(1+IF($B$6="Ja",0,0.19))+U49+V49)/(1-((M49+IF(J49="",$B$8,J49))*(1+IF($B$6="Ja",0,0.19))+$B$5/(1+$B$5)))-H49))</f>
        <v/>
      </c>
      <c r="AA49" s="13" t="str">
        <f aca="false">IF(I49="","",IF(1-((M49+IF(J49="",$B$8,J49))*(1+IF($B$6="Ja",0,0.19))+$B$5/(1+$B$5))-$B$7&lt;=0,"n/a",((O49+P49)*(1+IF($B$6="Ja",0,0.19))+U49+V49)/(1-((M49+IF(J49="",$B$8,J49))*(1+IF($B$6="Ja",0,0.19))+$B$5/(1+$B$5))-$B$7)-H49))</f>
        <v/>
      </c>
      <c r="AB49" s="16" t="str">
        <f aca="false">IF(I49="","",IF(W49&lt;0,"Verlust",IF(X49&lt;$B$7,"unter Wunschmarge","ok")))</f>
        <v/>
      </c>
    </row>
    <row r="50" customFormat="false" ht="15" hidden="false" customHeight="false" outlineLevel="0" collapsed="false">
      <c r="A50" s="10" t="n">
        <v>38</v>
      </c>
      <c r="B50" s="10"/>
      <c r="C50" s="10"/>
      <c r="D50" s="11"/>
      <c r="E50" s="11"/>
      <c r="F50" s="11"/>
      <c r="G50" s="11"/>
      <c r="H50" s="11"/>
      <c r="I50" s="11"/>
      <c r="J50" s="12"/>
      <c r="K50" s="12"/>
      <c r="L50" s="13" t="str">
        <f aca="false">IF(I50="","",I50+H50)</f>
        <v/>
      </c>
      <c r="M50" s="14" t="str">
        <f aca="false">IF(I50="","",IF($B$4="Privat",0,IFERROR(INDEX(Gebühren!$B$2:$B$18,MATCH(C50,Gebühren!$A$2:$A$18,0)),0.14)))</f>
        <v/>
      </c>
      <c r="N50" s="13" t="str">
        <f aca="false">IF(I50="","",IF($B$4="Privat",0,IF(OR(IFERROR(INDEX(Gebühren!$C$2:$C$18,MATCH(C50,Gebühren!$A$2:$A$18,0)),0)=0,L50&lt;=IFERROR(INDEX(Gebühren!$C$2:$C$18,MATCH(C50,Gebühren!$A$2:$A$18,0)),0)),L50*M50,INDEX(Gebühren!$C$2:$C$18,MATCH(C50,Gebühren!$A$2:$A$18,0))*M50+(L50-INDEX(Gebühren!$C$2:$C$18,MATCH(C50,Gebühren!$A$2:$A$18,0)))*IFERROR(INDEX(Gebühren!$D$2:$D$18,MATCH(C50,Gebühren!$A$2:$A$18,0)),0.03))))</f>
        <v/>
      </c>
      <c r="O50" s="13" t="str">
        <f aca="false">IF(I50="","",IF($B$4="Privat",0,IF(L50&lt;=10,Gebühren!$B$21,Gebühren!$B$22)))</f>
        <v/>
      </c>
      <c r="P50" s="13" t="str">
        <f aca="false">IF(I50="","",IF($B$4="Privat",0,Gebühren!$B$23/MAX(1,$B$9)))</f>
        <v/>
      </c>
      <c r="Q50" s="13" t="str">
        <f aca="false">IF(I50="","",L50*IF(J50="",$B$8,J50))</f>
        <v/>
      </c>
      <c r="R50" s="13" t="str">
        <f aca="false">IF(I50="","",N50+O50+P50+Q50)</f>
        <v/>
      </c>
      <c r="S50" s="13" t="str">
        <f aca="false">IF(I50="","",IF($B$6="Ja",0,R50*0.19))</f>
        <v/>
      </c>
      <c r="T50" s="13" t="str">
        <f aca="false">IF(I50="","",L50-L50/(1+$B$5))</f>
        <v/>
      </c>
      <c r="U50" s="13" t="str">
        <f aca="false">IF(I50="","",D50+E50+F50+G50)</f>
        <v/>
      </c>
      <c r="V50" s="13" t="str">
        <f aca="false">IF(I50="","",U50*K50)</f>
        <v/>
      </c>
      <c r="W50" s="13" t="str">
        <f aca="false">IF(I50="","",L50-R50-S50-T50-U50-V50)</f>
        <v/>
      </c>
      <c r="X50" s="15" t="str">
        <f aca="false">IF(I50="","",IF(L50=0,0,W50/L50))</f>
        <v/>
      </c>
      <c r="Y50" s="15" t="str">
        <f aca="false">IF(I50="","",IF(D50=0,0,W50/D50))</f>
        <v/>
      </c>
      <c r="Z50" s="13" t="str">
        <f aca="false">IF(I50="","",IF(1-((M50+IF(J50="",$B$8,J50))*(1+IF($B$6="Ja",0,0.19))+$B$5/(1+$B$5))&lt;=0,"n/a",((O50+P50)*(1+IF($B$6="Ja",0,0.19))+U50+V50)/(1-((M50+IF(J50="",$B$8,J50))*(1+IF($B$6="Ja",0,0.19))+$B$5/(1+$B$5)))-H50))</f>
        <v/>
      </c>
      <c r="AA50" s="13" t="str">
        <f aca="false">IF(I50="","",IF(1-((M50+IF(J50="",$B$8,J50))*(1+IF($B$6="Ja",0,0.19))+$B$5/(1+$B$5))-$B$7&lt;=0,"n/a",((O50+P50)*(1+IF($B$6="Ja",0,0.19))+U50+V50)/(1-((M50+IF(J50="",$B$8,J50))*(1+IF($B$6="Ja",0,0.19))+$B$5/(1+$B$5))-$B$7)-H50))</f>
        <v/>
      </c>
      <c r="AB50" s="16" t="str">
        <f aca="false">IF(I50="","",IF(W50&lt;0,"Verlust",IF(X50&lt;$B$7,"unter Wunschmarge","ok")))</f>
        <v/>
      </c>
    </row>
    <row r="51" customFormat="false" ht="15" hidden="false" customHeight="false" outlineLevel="0" collapsed="false">
      <c r="A51" s="10" t="n">
        <v>39</v>
      </c>
      <c r="B51" s="10"/>
      <c r="C51" s="10"/>
      <c r="D51" s="11"/>
      <c r="E51" s="11"/>
      <c r="F51" s="11"/>
      <c r="G51" s="11"/>
      <c r="H51" s="11"/>
      <c r="I51" s="11"/>
      <c r="J51" s="12"/>
      <c r="K51" s="12"/>
      <c r="L51" s="13" t="str">
        <f aca="false">IF(I51="","",I51+H51)</f>
        <v/>
      </c>
      <c r="M51" s="14" t="str">
        <f aca="false">IF(I51="","",IF($B$4="Privat",0,IFERROR(INDEX(Gebühren!$B$2:$B$18,MATCH(C51,Gebühren!$A$2:$A$18,0)),0.14)))</f>
        <v/>
      </c>
      <c r="N51" s="13" t="str">
        <f aca="false">IF(I51="","",IF($B$4="Privat",0,IF(OR(IFERROR(INDEX(Gebühren!$C$2:$C$18,MATCH(C51,Gebühren!$A$2:$A$18,0)),0)=0,L51&lt;=IFERROR(INDEX(Gebühren!$C$2:$C$18,MATCH(C51,Gebühren!$A$2:$A$18,0)),0)),L51*M51,INDEX(Gebühren!$C$2:$C$18,MATCH(C51,Gebühren!$A$2:$A$18,0))*M51+(L51-INDEX(Gebühren!$C$2:$C$18,MATCH(C51,Gebühren!$A$2:$A$18,0)))*IFERROR(INDEX(Gebühren!$D$2:$D$18,MATCH(C51,Gebühren!$A$2:$A$18,0)),0.03))))</f>
        <v/>
      </c>
      <c r="O51" s="13" t="str">
        <f aca="false">IF(I51="","",IF($B$4="Privat",0,IF(L51&lt;=10,Gebühren!$B$21,Gebühren!$B$22)))</f>
        <v/>
      </c>
      <c r="P51" s="13" t="str">
        <f aca="false">IF(I51="","",IF($B$4="Privat",0,Gebühren!$B$23/MAX(1,$B$9)))</f>
        <v/>
      </c>
      <c r="Q51" s="13" t="str">
        <f aca="false">IF(I51="","",L51*IF(J51="",$B$8,J51))</f>
        <v/>
      </c>
      <c r="R51" s="13" t="str">
        <f aca="false">IF(I51="","",N51+O51+P51+Q51)</f>
        <v/>
      </c>
      <c r="S51" s="13" t="str">
        <f aca="false">IF(I51="","",IF($B$6="Ja",0,R51*0.19))</f>
        <v/>
      </c>
      <c r="T51" s="13" t="str">
        <f aca="false">IF(I51="","",L51-L51/(1+$B$5))</f>
        <v/>
      </c>
      <c r="U51" s="13" t="str">
        <f aca="false">IF(I51="","",D51+E51+F51+G51)</f>
        <v/>
      </c>
      <c r="V51" s="13" t="str">
        <f aca="false">IF(I51="","",U51*K51)</f>
        <v/>
      </c>
      <c r="W51" s="13" t="str">
        <f aca="false">IF(I51="","",L51-R51-S51-T51-U51-V51)</f>
        <v/>
      </c>
      <c r="X51" s="15" t="str">
        <f aca="false">IF(I51="","",IF(L51=0,0,W51/L51))</f>
        <v/>
      </c>
      <c r="Y51" s="15" t="str">
        <f aca="false">IF(I51="","",IF(D51=0,0,W51/D51))</f>
        <v/>
      </c>
      <c r="Z51" s="13" t="str">
        <f aca="false">IF(I51="","",IF(1-((M51+IF(J51="",$B$8,J51))*(1+IF($B$6="Ja",0,0.19))+$B$5/(1+$B$5))&lt;=0,"n/a",((O51+P51)*(1+IF($B$6="Ja",0,0.19))+U51+V51)/(1-((M51+IF(J51="",$B$8,J51))*(1+IF($B$6="Ja",0,0.19))+$B$5/(1+$B$5)))-H51))</f>
        <v/>
      </c>
      <c r="AA51" s="13" t="str">
        <f aca="false">IF(I51="","",IF(1-((M51+IF(J51="",$B$8,J51))*(1+IF($B$6="Ja",0,0.19))+$B$5/(1+$B$5))-$B$7&lt;=0,"n/a",((O51+P51)*(1+IF($B$6="Ja",0,0.19))+U51+V51)/(1-((M51+IF(J51="",$B$8,J51))*(1+IF($B$6="Ja",0,0.19))+$B$5/(1+$B$5))-$B$7)-H51))</f>
        <v/>
      </c>
      <c r="AB51" s="16" t="str">
        <f aca="false">IF(I51="","",IF(W51&lt;0,"Verlust",IF(X51&lt;$B$7,"unter Wunschmarge","ok")))</f>
        <v/>
      </c>
    </row>
    <row r="52" customFormat="false" ht="15" hidden="false" customHeight="false" outlineLevel="0" collapsed="false">
      <c r="A52" s="10" t="n">
        <v>40</v>
      </c>
      <c r="B52" s="10"/>
      <c r="C52" s="10"/>
      <c r="D52" s="11"/>
      <c r="E52" s="11"/>
      <c r="F52" s="11"/>
      <c r="G52" s="11"/>
      <c r="H52" s="11"/>
      <c r="I52" s="11"/>
      <c r="J52" s="12"/>
      <c r="K52" s="12"/>
      <c r="L52" s="13" t="str">
        <f aca="false">IF(I52="","",I52+H52)</f>
        <v/>
      </c>
      <c r="M52" s="14" t="str">
        <f aca="false">IF(I52="","",IF($B$4="Privat",0,IFERROR(INDEX(Gebühren!$B$2:$B$18,MATCH(C52,Gebühren!$A$2:$A$18,0)),0.14)))</f>
        <v/>
      </c>
      <c r="N52" s="13" t="str">
        <f aca="false">IF(I52="","",IF($B$4="Privat",0,IF(OR(IFERROR(INDEX(Gebühren!$C$2:$C$18,MATCH(C52,Gebühren!$A$2:$A$18,0)),0)=0,L52&lt;=IFERROR(INDEX(Gebühren!$C$2:$C$18,MATCH(C52,Gebühren!$A$2:$A$18,0)),0)),L52*M52,INDEX(Gebühren!$C$2:$C$18,MATCH(C52,Gebühren!$A$2:$A$18,0))*M52+(L52-INDEX(Gebühren!$C$2:$C$18,MATCH(C52,Gebühren!$A$2:$A$18,0)))*IFERROR(INDEX(Gebühren!$D$2:$D$18,MATCH(C52,Gebühren!$A$2:$A$18,0)),0.03))))</f>
        <v/>
      </c>
      <c r="O52" s="13" t="str">
        <f aca="false">IF(I52="","",IF($B$4="Privat",0,IF(L52&lt;=10,Gebühren!$B$21,Gebühren!$B$22)))</f>
        <v/>
      </c>
      <c r="P52" s="13" t="str">
        <f aca="false">IF(I52="","",IF($B$4="Privat",0,Gebühren!$B$23/MAX(1,$B$9)))</f>
        <v/>
      </c>
      <c r="Q52" s="13" t="str">
        <f aca="false">IF(I52="","",L52*IF(J52="",$B$8,J52))</f>
        <v/>
      </c>
      <c r="R52" s="13" t="str">
        <f aca="false">IF(I52="","",N52+O52+P52+Q52)</f>
        <v/>
      </c>
      <c r="S52" s="13" t="str">
        <f aca="false">IF(I52="","",IF($B$6="Ja",0,R52*0.19))</f>
        <v/>
      </c>
      <c r="T52" s="13" t="str">
        <f aca="false">IF(I52="","",L52-L52/(1+$B$5))</f>
        <v/>
      </c>
      <c r="U52" s="13" t="str">
        <f aca="false">IF(I52="","",D52+E52+F52+G52)</f>
        <v/>
      </c>
      <c r="V52" s="13" t="str">
        <f aca="false">IF(I52="","",U52*K52)</f>
        <v/>
      </c>
      <c r="W52" s="13" t="str">
        <f aca="false">IF(I52="","",L52-R52-S52-T52-U52-V52)</f>
        <v/>
      </c>
      <c r="X52" s="15" t="str">
        <f aca="false">IF(I52="","",IF(L52=0,0,W52/L52))</f>
        <v/>
      </c>
      <c r="Y52" s="15" t="str">
        <f aca="false">IF(I52="","",IF(D52=0,0,W52/D52))</f>
        <v/>
      </c>
      <c r="Z52" s="13" t="str">
        <f aca="false">IF(I52="","",IF(1-((M52+IF(J52="",$B$8,J52))*(1+IF($B$6="Ja",0,0.19))+$B$5/(1+$B$5))&lt;=0,"n/a",((O52+P52)*(1+IF($B$6="Ja",0,0.19))+U52+V52)/(1-((M52+IF(J52="",$B$8,J52))*(1+IF($B$6="Ja",0,0.19))+$B$5/(1+$B$5)))-H52))</f>
        <v/>
      </c>
      <c r="AA52" s="13" t="str">
        <f aca="false">IF(I52="","",IF(1-((M52+IF(J52="",$B$8,J52))*(1+IF($B$6="Ja",0,0.19))+$B$5/(1+$B$5))-$B$7&lt;=0,"n/a",((O52+P52)*(1+IF($B$6="Ja",0,0.19))+U52+V52)/(1-((M52+IF(J52="",$B$8,J52))*(1+IF($B$6="Ja",0,0.19))+$B$5/(1+$B$5))-$B$7)-H52))</f>
        <v/>
      </c>
      <c r="AB52" s="16" t="str">
        <f aca="false">IF(I52="","",IF(W52&lt;0,"Verlust",IF(X52&lt;$B$7,"unter Wunschmarge","ok")))</f>
        <v/>
      </c>
    </row>
    <row r="53" customFormat="false" ht="15" hidden="false" customHeight="false" outlineLevel="0" collapsed="false">
      <c r="A53" s="10" t="n">
        <v>41</v>
      </c>
      <c r="B53" s="10"/>
      <c r="C53" s="10"/>
      <c r="D53" s="11"/>
      <c r="E53" s="11"/>
      <c r="F53" s="11"/>
      <c r="G53" s="11"/>
      <c r="H53" s="11"/>
      <c r="I53" s="11"/>
      <c r="J53" s="12"/>
      <c r="K53" s="12"/>
      <c r="L53" s="13" t="str">
        <f aca="false">IF(I53="","",I53+H53)</f>
        <v/>
      </c>
      <c r="M53" s="14" t="str">
        <f aca="false">IF(I53="","",IF($B$4="Privat",0,IFERROR(INDEX(Gebühren!$B$2:$B$18,MATCH(C53,Gebühren!$A$2:$A$18,0)),0.14)))</f>
        <v/>
      </c>
      <c r="N53" s="13" t="str">
        <f aca="false">IF(I53="","",IF($B$4="Privat",0,IF(OR(IFERROR(INDEX(Gebühren!$C$2:$C$18,MATCH(C53,Gebühren!$A$2:$A$18,0)),0)=0,L53&lt;=IFERROR(INDEX(Gebühren!$C$2:$C$18,MATCH(C53,Gebühren!$A$2:$A$18,0)),0)),L53*M53,INDEX(Gebühren!$C$2:$C$18,MATCH(C53,Gebühren!$A$2:$A$18,0))*M53+(L53-INDEX(Gebühren!$C$2:$C$18,MATCH(C53,Gebühren!$A$2:$A$18,0)))*IFERROR(INDEX(Gebühren!$D$2:$D$18,MATCH(C53,Gebühren!$A$2:$A$18,0)),0.03))))</f>
        <v/>
      </c>
      <c r="O53" s="13" t="str">
        <f aca="false">IF(I53="","",IF($B$4="Privat",0,IF(L53&lt;=10,Gebühren!$B$21,Gebühren!$B$22)))</f>
        <v/>
      </c>
      <c r="P53" s="13" t="str">
        <f aca="false">IF(I53="","",IF($B$4="Privat",0,Gebühren!$B$23/MAX(1,$B$9)))</f>
        <v/>
      </c>
      <c r="Q53" s="13" t="str">
        <f aca="false">IF(I53="","",L53*IF(J53="",$B$8,J53))</f>
        <v/>
      </c>
      <c r="R53" s="13" t="str">
        <f aca="false">IF(I53="","",N53+O53+P53+Q53)</f>
        <v/>
      </c>
      <c r="S53" s="13" t="str">
        <f aca="false">IF(I53="","",IF($B$6="Ja",0,R53*0.19))</f>
        <v/>
      </c>
      <c r="T53" s="13" t="str">
        <f aca="false">IF(I53="","",L53-L53/(1+$B$5))</f>
        <v/>
      </c>
      <c r="U53" s="13" t="str">
        <f aca="false">IF(I53="","",D53+E53+F53+G53)</f>
        <v/>
      </c>
      <c r="V53" s="13" t="str">
        <f aca="false">IF(I53="","",U53*K53)</f>
        <v/>
      </c>
      <c r="W53" s="13" t="str">
        <f aca="false">IF(I53="","",L53-R53-S53-T53-U53-V53)</f>
        <v/>
      </c>
      <c r="X53" s="15" t="str">
        <f aca="false">IF(I53="","",IF(L53=0,0,W53/L53))</f>
        <v/>
      </c>
      <c r="Y53" s="15" t="str">
        <f aca="false">IF(I53="","",IF(D53=0,0,W53/D53))</f>
        <v/>
      </c>
      <c r="Z53" s="13" t="str">
        <f aca="false">IF(I53="","",IF(1-((M53+IF(J53="",$B$8,J53))*(1+IF($B$6="Ja",0,0.19))+$B$5/(1+$B$5))&lt;=0,"n/a",((O53+P53)*(1+IF($B$6="Ja",0,0.19))+U53+V53)/(1-((M53+IF(J53="",$B$8,J53))*(1+IF($B$6="Ja",0,0.19))+$B$5/(1+$B$5)))-H53))</f>
        <v/>
      </c>
      <c r="AA53" s="13" t="str">
        <f aca="false">IF(I53="","",IF(1-((M53+IF(J53="",$B$8,J53))*(1+IF($B$6="Ja",0,0.19))+$B$5/(1+$B$5))-$B$7&lt;=0,"n/a",((O53+P53)*(1+IF($B$6="Ja",0,0.19))+U53+V53)/(1-((M53+IF(J53="",$B$8,J53))*(1+IF($B$6="Ja",0,0.19))+$B$5/(1+$B$5))-$B$7)-H53))</f>
        <v/>
      </c>
      <c r="AB53" s="16" t="str">
        <f aca="false">IF(I53="","",IF(W53&lt;0,"Verlust",IF(X53&lt;$B$7,"unter Wunschmarge","ok")))</f>
        <v/>
      </c>
    </row>
    <row r="54" customFormat="false" ht="15" hidden="false" customHeight="false" outlineLevel="0" collapsed="false">
      <c r="A54" s="10" t="n">
        <v>42</v>
      </c>
      <c r="B54" s="10"/>
      <c r="C54" s="10"/>
      <c r="D54" s="11"/>
      <c r="E54" s="11"/>
      <c r="F54" s="11"/>
      <c r="G54" s="11"/>
      <c r="H54" s="11"/>
      <c r="I54" s="11"/>
      <c r="J54" s="12"/>
      <c r="K54" s="12"/>
      <c r="L54" s="13" t="str">
        <f aca="false">IF(I54="","",I54+H54)</f>
        <v/>
      </c>
      <c r="M54" s="14" t="str">
        <f aca="false">IF(I54="","",IF($B$4="Privat",0,IFERROR(INDEX(Gebühren!$B$2:$B$18,MATCH(C54,Gebühren!$A$2:$A$18,0)),0.14)))</f>
        <v/>
      </c>
      <c r="N54" s="13" t="str">
        <f aca="false">IF(I54="","",IF($B$4="Privat",0,IF(OR(IFERROR(INDEX(Gebühren!$C$2:$C$18,MATCH(C54,Gebühren!$A$2:$A$18,0)),0)=0,L54&lt;=IFERROR(INDEX(Gebühren!$C$2:$C$18,MATCH(C54,Gebühren!$A$2:$A$18,0)),0)),L54*M54,INDEX(Gebühren!$C$2:$C$18,MATCH(C54,Gebühren!$A$2:$A$18,0))*M54+(L54-INDEX(Gebühren!$C$2:$C$18,MATCH(C54,Gebühren!$A$2:$A$18,0)))*IFERROR(INDEX(Gebühren!$D$2:$D$18,MATCH(C54,Gebühren!$A$2:$A$18,0)),0.03))))</f>
        <v/>
      </c>
      <c r="O54" s="13" t="str">
        <f aca="false">IF(I54="","",IF($B$4="Privat",0,IF(L54&lt;=10,Gebühren!$B$21,Gebühren!$B$22)))</f>
        <v/>
      </c>
      <c r="P54" s="13" t="str">
        <f aca="false">IF(I54="","",IF($B$4="Privat",0,Gebühren!$B$23/MAX(1,$B$9)))</f>
        <v/>
      </c>
      <c r="Q54" s="13" t="str">
        <f aca="false">IF(I54="","",L54*IF(J54="",$B$8,J54))</f>
        <v/>
      </c>
      <c r="R54" s="13" t="str">
        <f aca="false">IF(I54="","",N54+O54+P54+Q54)</f>
        <v/>
      </c>
      <c r="S54" s="13" t="str">
        <f aca="false">IF(I54="","",IF($B$6="Ja",0,R54*0.19))</f>
        <v/>
      </c>
      <c r="T54" s="13" t="str">
        <f aca="false">IF(I54="","",L54-L54/(1+$B$5))</f>
        <v/>
      </c>
      <c r="U54" s="13" t="str">
        <f aca="false">IF(I54="","",D54+E54+F54+G54)</f>
        <v/>
      </c>
      <c r="V54" s="13" t="str">
        <f aca="false">IF(I54="","",U54*K54)</f>
        <v/>
      </c>
      <c r="W54" s="13" t="str">
        <f aca="false">IF(I54="","",L54-R54-S54-T54-U54-V54)</f>
        <v/>
      </c>
      <c r="X54" s="15" t="str">
        <f aca="false">IF(I54="","",IF(L54=0,0,W54/L54))</f>
        <v/>
      </c>
      <c r="Y54" s="15" t="str">
        <f aca="false">IF(I54="","",IF(D54=0,0,W54/D54))</f>
        <v/>
      </c>
      <c r="Z54" s="13" t="str">
        <f aca="false">IF(I54="","",IF(1-((M54+IF(J54="",$B$8,J54))*(1+IF($B$6="Ja",0,0.19))+$B$5/(1+$B$5))&lt;=0,"n/a",((O54+P54)*(1+IF($B$6="Ja",0,0.19))+U54+V54)/(1-((M54+IF(J54="",$B$8,J54))*(1+IF($B$6="Ja",0,0.19))+$B$5/(1+$B$5)))-H54))</f>
        <v/>
      </c>
      <c r="AA54" s="13" t="str">
        <f aca="false">IF(I54="","",IF(1-((M54+IF(J54="",$B$8,J54))*(1+IF($B$6="Ja",0,0.19))+$B$5/(1+$B$5))-$B$7&lt;=0,"n/a",((O54+P54)*(1+IF($B$6="Ja",0,0.19))+U54+V54)/(1-((M54+IF(J54="",$B$8,J54))*(1+IF($B$6="Ja",0,0.19))+$B$5/(1+$B$5))-$B$7)-H54))</f>
        <v/>
      </c>
      <c r="AB54" s="16" t="str">
        <f aca="false">IF(I54="","",IF(W54&lt;0,"Verlust",IF(X54&lt;$B$7,"unter Wunschmarge","ok")))</f>
        <v/>
      </c>
    </row>
    <row r="55" customFormat="false" ht="15" hidden="false" customHeight="false" outlineLevel="0" collapsed="false">
      <c r="A55" s="10" t="n">
        <v>43</v>
      </c>
      <c r="B55" s="10"/>
      <c r="C55" s="10"/>
      <c r="D55" s="11"/>
      <c r="E55" s="11"/>
      <c r="F55" s="11"/>
      <c r="G55" s="11"/>
      <c r="H55" s="11"/>
      <c r="I55" s="11"/>
      <c r="J55" s="12"/>
      <c r="K55" s="12"/>
      <c r="L55" s="13" t="str">
        <f aca="false">IF(I55="","",I55+H55)</f>
        <v/>
      </c>
      <c r="M55" s="14" t="str">
        <f aca="false">IF(I55="","",IF($B$4="Privat",0,IFERROR(INDEX(Gebühren!$B$2:$B$18,MATCH(C55,Gebühren!$A$2:$A$18,0)),0.14)))</f>
        <v/>
      </c>
      <c r="N55" s="13" t="str">
        <f aca="false">IF(I55="","",IF($B$4="Privat",0,IF(OR(IFERROR(INDEX(Gebühren!$C$2:$C$18,MATCH(C55,Gebühren!$A$2:$A$18,0)),0)=0,L55&lt;=IFERROR(INDEX(Gebühren!$C$2:$C$18,MATCH(C55,Gebühren!$A$2:$A$18,0)),0)),L55*M55,INDEX(Gebühren!$C$2:$C$18,MATCH(C55,Gebühren!$A$2:$A$18,0))*M55+(L55-INDEX(Gebühren!$C$2:$C$18,MATCH(C55,Gebühren!$A$2:$A$18,0)))*IFERROR(INDEX(Gebühren!$D$2:$D$18,MATCH(C55,Gebühren!$A$2:$A$18,0)),0.03))))</f>
        <v/>
      </c>
      <c r="O55" s="13" t="str">
        <f aca="false">IF(I55="","",IF($B$4="Privat",0,IF(L55&lt;=10,Gebühren!$B$21,Gebühren!$B$22)))</f>
        <v/>
      </c>
      <c r="P55" s="13" t="str">
        <f aca="false">IF(I55="","",IF($B$4="Privat",0,Gebühren!$B$23/MAX(1,$B$9)))</f>
        <v/>
      </c>
      <c r="Q55" s="13" t="str">
        <f aca="false">IF(I55="","",L55*IF(J55="",$B$8,J55))</f>
        <v/>
      </c>
      <c r="R55" s="13" t="str">
        <f aca="false">IF(I55="","",N55+O55+P55+Q55)</f>
        <v/>
      </c>
      <c r="S55" s="13" t="str">
        <f aca="false">IF(I55="","",IF($B$6="Ja",0,R55*0.19))</f>
        <v/>
      </c>
      <c r="T55" s="13" t="str">
        <f aca="false">IF(I55="","",L55-L55/(1+$B$5))</f>
        <v/>
      </c>
      <c r="U55" s="13" t="str">
        <f aca="false">IF(I55="","",D55+E55+F55+G55)</f>
        <v/>
      </c>
      <c r="V55" s="13" t="str">
        <f aca="false">IF(I55="","",U55*K55)</f>
        <v/>
      </c>
      <c r="W55" s="13" t="str">
        <f aca="false">IF(I55="","",L55-R55-S55-T55-U55-V55)</f>
        <v/>
      </c>
      <c r="X55" s="15" t="str">
        <f aca="false">IF(I55="","",IF(L55=0,0,W55/L55))</f>
        <v/>
      </c>
      <c r="Y55" s="15" t="str">
        <f aca="false">IF(I55="","",IF(D55=0,0,W55/D55))</f>
        <v/>
      </c>
      <c r="Z55" s="13" t="str">
        <f aca="false">IF(I55="","",IF(1-((M55+IF(J55="",$B$8,J55))*(1+IF($B$6="Ja",0,0.19))+$B$5/(1+$B$5))&lt;=0,"n/a",((O55+P55)*(1+IF($B$6="Ja",0,0.19))+U55+V55)/(1-((M55+IF(J55="",$B$8,J55))*(1+IF($B$6="Ja",0,0.19))+$B$5/(1+$B$5)))-H55))</f>
        <v/>
      </c>
      <c r="AA55" s="13" t="str">
        <f aca="false">IF(I55="","",IF(1-((M55+IF(J55="",$B$8,J55))*(1+IF($B$6="Ja",0,0.19))+$B$5/(1+$B$5))-$B$7&lt;=0,"n/a",((O55+P55)*(1+IF($B$6="Ja",0,0.19))+U55+V55)/(1-((M55+IF(J55="",$B$8,J55))*(1+IF($B$6="Ja",0,0.19))+$B$5/(1+$B$5))-$B$7)-H55))</f>
        <v/>
      </c>
      <c r="AB55" s="16" t="str">
        <f aca="false">IF(I55="","",IF(W55&lt;0,"Verlust",IF(X55&lt;$B$7,"unter Wunschmarge","ok")))</f>
        <v/>
      </c>
    </row>
    <row r="56" customFormat="false" ht="15" hidden="false" customHeight="false" outlineLevel="0" collapsed="false">
      <c r="A56" s="10" t="n">
        <v>44</v>
      </c>
      <c r="B56" s="10"/>
      <c r="C56" s="10"/>
      <c r="D56" s="11"/>
      <c r="E56" s="11"/>
      <c r="F56" s="11"/>
      <c r="G56" s="11"/>
      <c r="H56" s="11"/>
      <c r="I56" s="11"/>
      <c r="J56" s="12"/>
      <c r="K56" s="12"/>
      <c r="L56" s="13" t="str">
        <f aca="false">IF(I56="","",I56+H56)</f>
        <v/>
      </c>
      <c r="M56" s="14" t="str">
        <f aca="false">IF(I56="","",IF($B$4="Privat",0,IFERROR(INDEX(Gebühren!$B$2:$B$18,MATCH(C56,Gebühren!$A$2:$A$18,0)),0.14)))</f>
        <v/>
      </c>
      <c r="N56" s="13" t="str">
        <f aca="false">IF(I56="","",IF($B$4="Privat",0,IF(OR(IFERROR(INDEX(Gebühren!$C$2:$C$18,MATCH(C56,Gebühren!$A$2:$A$18,0)),0)=0,L56&lt;=IFERROR(INDEX(Gebühren!$C$2:$C$18,MATCH(C56,Gebühren!$A$2:$A$18,0)),0)),L56*M56,INDEX(Gebühren!$C$2:$C$18,MATCH(C56,Gebühren!$A$2:$A$18,0))*M56+(L56-INDEX(Gebühren!$C$2:$C$18,MATCH(C56,Gebühren!$A$2:$A$18,0)))*IFERROR(INDEX(Gebühren!$D$2:$D$18,MATCH(C56,Gebühren!$A$2:$A$18,0)),0.03))))</f>
        <v/>
      </c>
      <c r="O56" s="13" t="str">
        <f aca="false">IF(I56="","",IF($B$4="Privat",0,IF(L56&lt;=10,Gebühren!$B$21,Gebühren!$B$22)))</f>
        <v/>
      </c>
      <c r="P56" s="13" t="str">
        <f aca="false">IF(I56="","",IF($B$4="Privat",0,Gebühren!$B$23/MAX(1,$B$9)))</f>
        <v/>
      </c>
      <c r="Q56" s="13" t="str">
        <f aca="false">IF(I56="","",L56*IF(J56="",$B$8,J56))</f>
        <v/>
      </c>
      <c r="R56" s="13" t="str">
        <f aca="false">IF(I56="","",N56+O56+P56+Q56)</f>
        <v/>
      </c>
      <c r="S56" s="13" t="str">
        <f aca="false">IF(I56="","",IF($B$6="Ja",0,R56*0.19))</f>
        <v/>
      </c>
      <c r="T56" s="13" t="str">
        <f aca="false">IF(I56="","",L56-L56/(1+$B$5))</f>
        <v/>
      </c>
      <c r="U56" s="13" t="str">
        <f aca="false">IF(I56="","",D56+E56+F56+G56)</f>
        <v/>
      </c>
      <c r="V56" s="13" t="str">
        <f aca="false">IF(I56="","",U56*K56)</f>
        <v/>
      </c>
      <c r="W56" s="13" t="str">
        <f aca="false">IF(I56="","",L56-R56-S56-T56-U56-V56)</f>
        <v/>
      </c>
      <c r="X56" s="15" t="str">
        <f aca="false">IF(I56="","",IF(L56=0,0,W56/L56))</f>
        <v/>
      </c>
      <c r="Y56" s="15" t="str">
        <f aca="false">IF(I56="","",IF(D56=0,0,W56/D56))</f>
        <v/>
      </c>
      <c r="Z56" s="13" t="str">
        <f aca="false">IF(I56="","",IF(1-((M56+IF(J56="",$B$8,J56))*(1+IF($B$6="Ja",0,0.19))+$B$5/(1+$B$5))&lt;=0,"n/a",((O56+P56)*(1+IF($B$6="Ja",0,0.19))+U56+V56)/(1-((M56+IF(J56="",$B$8,J56))*(1+IF($B$6="Ja",0,0.19))+$B$5/(1+$B$5)))-H56))</f>
        <v/>
      </c>
      <c r="AA56" s="13" t="str">
        <f aca="false">IF(I56="","",IF(1-((M56+IF(J56="",$B$8,J56))*(1+IF($B$6="Ja",0,0.19))+$B$5/(1+$B$5))-$B$7&lt;=0,"n/a",((O56+P56)*(1+IF($B$6="Ja",0,0.19))+U56+V56)/(1-((M56+IF(J56="",$B$8,J56))*(1+IF($B$6="Ja",0,0.19))+$B$5/(1+$B$5))-$B$7)-H56))</f>
        <v/>
      </c>
      <c r="AB56" s="16" t="str">
        <f aca="false">IF(I56="","",IF(W56&lt;0,"Verlust",IF(X56&lt;$B$7,"unter Wunschmarge","ok")))</f>
        <v/>
      </c>
    </row>
    <row r="57" customFormat="false" ht="15" hidden="false" customHeight="false" outlineLevel="0" collapsed="false">
      <c r="A57" s="10" t="n">
        <v>45</v>
      </c>
      <c r="B57" s="10"/>
      <c r="C57" s="10"/>
      <c r="D57" s="11"/>
      <c r="E57" s="11"/>
      <c r="F57" s="11"/>
      <c r="G57" s="11"/>
      <c r="H57" s="11"/>
      <c r="I57" s="11"/>
      <c r="J57" s="12"/>
      <c r="K57" s="12"/>
      <c r="L57" s="13" t="str">
        <f aca="false">IF(I57="","",I57+H57)</f>
        <v/>
      </c>
      <c r="M57" s="14" t="str">
        <f aca="false">IF(I57="","",IF($B$4="Privat",0,IFERROR(INDEX(Gebühren!$B$2:$B$18,MATCH(C57,Gebühren!$A$2:$A$18,0)),0.14)))</f>
        <v/>
      </c>
      <c r="N57" s="13" t="str">
        <f aca="false">IF(I57="","",IF($B$4="Privat",0,IF(OR(IFERROR(INDEX(Gebühren!$C$2:$C$18,MATCH(C57,Gebühren!$A$2:$A$18,0)),0)=0,L57&lt;=IFERROR(INDEX(Gebühren!$C$2:$C$18,MATCH(C57,Gebühren!$A$2:$A$18,0)),0)),L57*M57,INDEX(Gebühren!$C$2:$C$18,MATCH(C57,Gebühren!$A$2:$A$18,0))*M57+(L57-INDEX(Gebühren!$C$2:$C$18,MATCH(C57,Gebühren!$A$2:$A$18,0)))*IFERROR(INDEX(Gebühren!$D$2:$D$18,MATCH(C57,Gebühren!$A$2:$A$18,0)),0.03))))</f>
        <v/>
      </c>
      <c r="O57" s="13" t="str">
        <f aca="false">IF(I57="","",IF($B$4="Privat",0,IF(L57&lt;=10,Gebühren!$B$21,Gebühren!$B$22)))</f>
        <v/>
      </c>
      <c r="P57" s="13" t="str">
        <f aca="false">IF(I57="","",IF($B$4="Privat",0,Gebühren!$B$23/MAX(1,$B$9)))</f>
        <v/>
      </c>
      <c r="Q57" s="13" t="str">
        <f aca="false">IF(I57="","",L57*IF(J57="",$B$8,J57))</f>
        <v/>
      </c>
      <c r="R57" s="13" t="str">
        <f aca="false">IF(I57="","",N57+O57+P57+Q57)</f>
        <v/>
      </c>
      <c r="S57" s="13" t="str">
        <f aca="false">IF(I57="","",IF($B$6="Ja",0,R57*0.19))</f>
        <v/>
      </c>
      <c r="T57" s="13" t="str">
        <f aca="false">IF(I57="","",L57-L57/(1+$B$5))</f>
        <v/>
      </c>
      <c r="U57" s="13" t="str">
        <f aca="false">IF(I57="","",D57+E57+F57+G57)</f>
        <v/>
      </c>
      <c r="V57" s="13" t="str">
        <f aca="false">IF(I57="","",U57*K57)</f>
        <v/>
      </c>
      <c r="W57" s="13" t="str">
        <f aca="false">IF(I57="","",L57-R57-S57-T57-U57-V57)</f>
        <v/>
      </c>
      <c r="X57" s="15" t="str">
        <f aca="false">IF(I57="","",IF(L57=0,0,W57/L57))</f>
        <v/>
      </c>
      <c r="Y57" s="15" t="str">
        <f aca="false">IF(I57="","",IF(D57=0,0,W57/D57))</f>
        <v/>
      </c>
      <c r="Z57" s="13" t="str">
        <f aca="false">IF(I57="","",IF(1-((M57+IF(J57="",$B$8,J57))*(1+IF($B$6="Ja",0,0.19))+$B$5/(1+$B$5))&lt;=0,"n/a",((O57+P57)*(1+IF($B$6="Ja",0,0.19))+U57+V57)/(1-((M57+IF(J57="",$B$8,J57))*(1+IF($B$6="Ja",0,0.19))+$B$5/(1+$B$5)))-H57))</f>
        <v/>
      </c>
      <c r="AA57" s="13" t="str">
        <f aca="false">IF(I57="","",IF(1-((M57+IF(J57="",$B$8,J57))*(1+IF($B$6="Ja",0,0.19))+$B$5/(1+$B$5))-$B$7&lt;=0,"n/a",((O57+P57)*(1+IF($B$6="Ja",0,0.19))+U57+V57)/(1-((M57+IF(J57="",$B$8,J57))*(1+IF($B$6="Ja",0,0.19))+$B$5/(1+$B$5))-$B$7)-H57))</f>
        <v/>
      </c>
      <c r="AB57" s="16" t="str">
        <f aca="false">IF(I57="","",IF(W57&lt;0,"Verlust",IF(X57&lt;$B$7,"unter Wunschmarge","ok")))</f>
        <v/>
      </c>
    </row>
    <row r="58" customFormat="false" ht="15" hidden="false" customHeight="false" outlineLevel="0" collapsed="false">
      <c r="A58" s="10" t="n">
        <v>46</v>
      </c>
      <c r="B58" s="10"/>
      <c r="C58" s="10"/>
      <c r="D58" s="11"/>
      <c r="E58" s="11"/>
      <c r="F58" s="11"/>
      <c r="G58" s="11"/>
      <c r="H58" s="11"/>
      <c r="I58" s="11"/>
      <c r="J58" s="12"/>
      <c r="K58" s="12"/>
      <c r="L58" s="13" t="str">
        <f aca="false">IF(I58="","",I58+H58)</f>
        <v/>
      </c>
      <c r="M58" s="14" t="str">
        <f aca="false">IF(I58="","",IF($B$4="Privat",0,IFERROR(INDEX(Gebühren!$B$2:$B$18,MATCH(C58,Gebühren!$A$2:$A$18,0)),0.14)))</f>
        <v/>
      </c>
      <c r="N58" s="13" t="str">
        <f aca="false">IF(I58="","",IF($B$4="Privat",0,IF(OR(IFERROR(INDEX(Gebühren!$C$2:$C$18,MATCH(C58,Gebühren!$A$2:$A$18,0)),0)=0,L58&lt;=IFERROR(INDEX(Gebühren!$C$2:$C$18,MATCH(C58,Gebühren!$A$2:$A$18,0)),0)),L58*M58,INDEX(Gebühren!$C$2:$C$18,MATCH(C58,Gebühren!$A$2:$A$18,0))*M58+(L58-INDEX(Gebühren!$C$2:$C$18,MATCH(C58,Gebühren!$A$2:$A$18,0)))*IFERROR(INDEX(Gebühren!$D$2:$D$18,MATCH(C58,Gebühren!$A$2:$A$18,0)),0.03))))</f>
        <v/>
      </c>
      <c r="O58" s="13" t="str">
        <f aca="false">IF(I58="","",IF($B$4="Privat",0,IF(L58&lt;=10,Gebühren!$B$21,Gebühren!$B$22)))</f>
        <v/>
      </c>
      <c r="P58" s="13" t="str">
        <f aca="false">IF(I58="","",IF($B$4="Privat",0,Gebühren!$B$23/MAX(1,$B$9)))</f>
        <v/>
      </c>
      <c r="Q58" s="13" t="str">
        <f aca="false">IF(I58="","",L58*IF(J58="",$B$8,J58))</f>
        <v/>
      </c>
      <c r="R58" s="13" t="str">
        <f aca="false">IF(I58="","",N58+O58+P58+Q58)</f>
        <v/>
      </c>
      <c r="S58" s="13" t="str">
        <f aca="false">IF(I58="","",IF($B$6="Ja",0,R58*0.19))</f>
        <v/>
      </c>
      <c r="T58" s="13" t="str">
        <f aca="false">IF(I58="","",L58-L58/(1+$B$5))</f>
        <v/>
      </c>
      <c r="U58" s="13" t="str">
        <f aca="false">IF(I58="","",D58+E58+F58+G58)</f>
        <v/>
      </c>
      <c r="V58" s="13" t="str">
        <f aca="false">IF(I58="","",U58*K58)</f>
        <v/>
      </c>
      <c r="W58" s="13" t="str">
        <f aca="false">IF(I58="","",L58-R58-S58-T58-U58-V58)</f>
        <v/>
      </c>
      <c r="X58" s="15" t="str">
        <f aca="false">IF(I58="","",IF(L58=0,0,W58/L58))</f>
        <v/>
      </c>
      <c r="Y58" s="15" t="str">
        <f aca="false">IF(I58="","",IF(D58=0,0,W58/D58))</f>
        <v/>
      </c>
      <c r="Z58" s="13" t="str">
        <f aca="false">IF(I58="","",IF(1-((M58+IF(J58="",$B$8,J58))*(1+IF($B$6="Ja",0,0.19))+$B$5/(1+$B$5))&lt;=0,"n/a",((O58+P58)*(1+IF($B$6="Ja",0,0.19))+U58+V58)/(1-((M58+IF(J58="",$B$8,J58))*(1+IF($B$6="Ja",0,0.19))+$B$5/(1+$B$5)))-H58))</f>
        <v/>
      </c>
      <c r="AA58" s="13" t="str">
        <f aca="false">IF(I58="","",IF(1-((M58+IF(J58="",$B$8,J58))*(1+IF($B$6="Ja",0,0.19))+$B$5/(1+$B$5))-$B$7&lt;=0,"n/a",((O58+P58)*(1+IF($B$6="Ja",0,0.19))+U58+V58)/(1-((M58+IF(J58="",$B$8,J58))*(1+IF($B$6="Ja",0,0.19))+$B$5/(1+$B$5))-$B$7)-H58))</f>
        <v/>
      </c>
      <c r="AB58" s="16" t="str">
        <f aca="false">IF(I58="","",IF(W58&lt;0,"Verlust",IF(X58&lt;$B$7,"unter Wunschmarge","ok")))</f>
        <v/>
      </c>
    </row>
    <row r="59" customFormat="false" ht="15" hidden="false" customHeight="false" outlineLevel="0" collapsed="false">
      <c r="A59" s="10" t="n">
        <v>47</v>
      </c>
      <c r="B59" s="10"/>
      <c r="C59" s="10"/>
      <c r="D59" s="11"/>
      <c r="E59" s="11"/>
      <c r="F59" s="11"/>
      <c r="G59" s="11"/>
      <c r="H59" s="11"/>
      <c r="I59" s="11"/>
      <c r="J59" s="12"/>
      <c r="K59" s="12"/>
      <c r="L59" s="13" t="str">
        <f aca="false">IF(I59="","",I59+H59)</f>
        <v/>
      </c>
      <c r="M59" s="14" t="str">
        <f aca="false">IF(I59="","",IF($B$4="Privat",0,IFERROR(INDEX(Gebühren!$B$2:$B$18,MATCH(C59,Gebühren!$A$2:$A$18,0)),0.14)))</f>
        <v/>
      </c>
      <c r="N59" s="13" t="str">
        <f aca="false">IF(I59="","",IF($B$4="Privat",0,IF(OR(IFERROR(INDEX(Gebühren!$C$2:$C$18,MATCH(C59,Gebühren!$A$2:$A$18,0)),0)=0,L59&lt;=IFERROR(INDEX(Gebühren!$C$2:$C$18,MATCH(C59,Gebühren!$A$2:$A$18,0)),0)),L59*M59,INDEX(Gebühren!$C$2:$C$18,MATCH(C59,Gebühren!$A$2:$A$18,0))*M59+(L59-INDEX(Gebühren!$C$2:$C$18,MATCH(C59,Gebühren!$A$2:$A$18,0)))*IFERROR(INDEX(Gebühren!$D$2:$D$18,MATCH(C59,Gebühren!$A$2:$A$18,0)),0.03))))</f>
        <v/>
      </c>
      <c r="O59" s="13" t="str">
        <f aca="false">IF(I59="","",IF($B$4="Privat",0,IF(L59&lt;=10,Gebühren!$B$21,Gebühren!$B$22)))</f>
        <v/>
      </c>
      <c r="P59" s="13" t="str">
        <f aca="false">IF(I59="","",IF($B$4="Privat",0,Gebühren!$B$23/MAX(1,$B$9)))</f>
        <v/>
      </c>
      <c r="Q59" s="13" t="str">
        <f aca="false">IF(I59="","",L59*IF(J59="",$B$8,J59))</f>
        <v/>
      </c>
      <c r="R59" s="13" t="str">
        <f aca="false">IF(I59="","",N59+O59+P59+Q59)</f>
        <v/>
      </c>
      <c r="S59" s="13" t="str">
        <f aca="false">IF(I59="","",IF($B$6="Ja",0,R59*0.19))</f>
        <v/>
      </c>
      <c r="T59" s="13" t="str">
        <f aca="false">IF(I59="","",L59-L59/(1+$B$5))</f>
        <v/>
      </c>
      <c r="U59" s="13" t="str">
        <f aca="false">IF(I59="","",D59+E59+F59+G59)</f>
        <v/>
      </c>
      <c r="V59" s="13" t="str">
        <f aca="false">IF(I59="","",U59*K59)</f>
        <v/>
      </c>
      <c r="W59" s="13" t="str">
        <f aca="false">IF(I59="","",L59-R59-S59-T59-U59-V59)</f>
        <v/>
      </c>
      <c r="X59" s="15" t="str">
        <f aca="false">IF(I59="","",IF(L59=0,0,W59/L59))</f>
        <v/>
      </c>
      <c r="Y59" s="15" t="str">
        <f aca="false">IF(I59="","",IF(D59=0,0,W59/D59))</f>
        <v/>
      </c>
      <c r="Z59" s="13" t="str">
        <f aca="false">IF(I59="","",IF(1-((M59+IF(J59="",$B$8,J59))*(1+IF($B$6="Ja",0,0.19))+$B$5/(1+$B$5))&lt;=0,"n/a",((O59+P59)*(1+IF($B$6="Ja",0,0.19))+U59+V59)/(1-((M59+IF(J59="",$B$8,J59))*(1+IF($B$6="Ja",0,0.19))+$B$5/(1+$B$5)))-H59))</f>
        <v/>
      </c>
      <c r="AA59" s="13" t="str">
        <f aca="false">IF(I59="","",IF(1-((M59+IF(J59="",$B$8,J59))*(1+IF($B$6="Ja",0,0.19))+$B$5/(1+$B$5))-$B$7&lt;=0,"n/a",((O59+P59)*(1+IF($B$6="Ja",0,0.19))+U59+V59)/(1-((M59+IF(J59="",$B$8,J59))*(1+IF($B$6="Ja",0,0.19))+$B$5/(1+$B$5))-$B$7)-H59))</f>
        <v/>
      </c>
      <c r="AB59" s="16" t="str">
        <f aca="false">IF(I59="","",IF(W59&lt;0,"Verlust",IF(X59&lt;$B$7,"unter Wunschmarge","ok")))</f>
        <v/>
      </c>
    </row>
    <row r="60" customFormat="false" ht="15" hidden="false" customHeight="false" outlineLevel="0" collapsed="false">
      <c r="A60" s="10" t="n">
        <v>48</v>
      </c>
      <c r="B60" s="10"/>
      <c r="C60" s="10"/>
      <c r="D60" s="11"/>
      <c r="E60" s="11"/>
      <c r="F60" s="11"/>
      <c r="G60" s="11"/>
      <c r="H60" s="11"/>
      <c r="I60" s="11"/>
      <c r="J60" s="12"/>
      <c r="K60" s="12"/>
      <c r="L60" s="13" t="str">
        <f aca="false">IF(I60="","",I60+H60)</f>
        <v/>
      </c>
      <c r="M60" s="14" t="str">
        <f aca="false">IF(I60="","",IF($B$4="Privat",0,IFERROR(INDEX(Gebühren!$B$2:$B$18,MATCH(C60,Gebühren!$A$2:$A$18,0)),0.14)))</f>
        <v/>
      </c>
      <c r="N60" s="13" t="str">
        <f aca="false">IF(I60="","",IF($B$4="Privat",0,IF(OR(IFERROR(INDEX(Gebühren!$C$2:$C$18,MATCH(C60,Gebühren!$A$2:$A$18,0)),0)=0,L60&lt;=IFERROR(INDEX(Gebühren!$C$2:$C$18,MATCH(C60,Gebühren!$A$2:$A$18,0)),0)),L60*M60,INDEX(Gebühren!$C$2:$C$18,MATCH(C60,Gebühren!$A$2:$A$18,0))*M60+(L60-INDEX(Gebühren!$C$2:$C$18,MATCH(C60,Gebühren!$A$2:$A$18,0)))*IFERROR(INDEX(Gebühren!$D$2:$D$18,MATCH(C60,Gebühren!$A$2:$A$18,0)),0.03))))</f>
        <v/>
      </c>
      <c r="O60" s="13" t="str">
        <f aca="false">IF(I60="","",IF($B$4="Privat",0,IF(L60&lt;=10,Gebühren!$B$21,Gebühren!$B$22)))</f>
        <v/>
      </c>
      <c r="P60" s="13" t="str">
        <f aca="false">IF(I60="","",IF($B$4="Privat",0,Gebühren!$B$23/MAX(1,$B$9)))</f>
        <v/>
      </c>
      <c r="Q60" s="13" t="str">
        <f aca="false">IF(I60="","",L60*IF(J60="",$B$8,J60))</f>
        <v/>
      </c>
      <c r="R60" s="13" t="str">
        <f aca="false">IF(I60="","",N60+O60+P60+Q60)</f>
        <v/>
      </c>
      <c r="S60" s="13" t="str">
        <f aca="false">IF(I60="","",IF($B$6="Ja",0,R60*0.19))</f>
        <v/>
      </c>
      <c r="T60" s="13" t="str">
        <f aca="false">IF(I60="","",L60-L60/(1+$B$5))</f>
        <v/>
      </c>
      <c r="U60" s="13" t="str">
        <f aca="false">IF(I60="","",D60+E60+F60+G60)</f>
        <v/>
      </c>
      <c r="V60" s="13" t="str">
        <f aca="false">IF(I60="","",U60*K60)</f>
        <v/>
      </c>
      <c r="W60" s="13" t="str">
        <f aca="false">IF(I60="","",L60-R60-S60-T60-U60-V60)</f>
        <v/>
      </c>
      <c r="X60" s="15" t="str">
        <f aca="false">IF(I60="","",IF(L60=0,0,W60/L60))</f>
        <v/>
      </c>
      <c r="Y60" s="15" t="str">
        <f aca="false">IF(I60="","",IF(D60=0,0,W60/D60))</f>
        <v/>
      </c>
      <c r="Z60" s="13" t="str">
        <f aca="false">IF(I60="","",IF(1-((M60+IF(J60="",$B$8,J60))*(1+IF($B$6="Ja",0,0.19))+$B$5/(1+$B$5))&lt;=0,"n/a",((O60+P60)*(1+IF($B$6="Ja",0,0.19))+U60+V60)/(1-((M60+IF(J60="",$B$8,J60))*(1+IF($B$6="Ja",0,0.19))+$B$5/(1+$B$5)))-H60))</f>
        <v/>
      </c>
      <c r="AA60" s="13" t="str">
        <f aca="false">IF(I60="","",IF(1-((M60+IF(J60="",$B$8,J60))*(1+IF($B$6="Ja",0,0.19))+$B$5/(1+$B$5))-$B$7&lt;=0,"n/a",((O60+P60)*(1+IF($B$6="Ja",0,0.19))+U60+V60)/(1-((M60+IF(J60="",$B$8,J60))*(1+IF($B$6="Ja",0,0.19))+$B$5/(1+$B$5))-$B$7)-H60))</f>
        <v/>
      </c>
      <c r="AB60" s="16" t="str">
        <f aca="false">IF(I60="","",IF(W60&lt;0,"Verlust",IF(X60&lt;$B$7,"unter Wunschmarge","ok")))</f>
        <v/>
      </c>
    </row>
    <row r="61" customFormat="false" ht="15" hidden="false" customHeight="false" outlineLevel="0" collapsed="false">
      <c r="A61" s="10" t="n">
        <v>49</v>
      </c>
      <c r="B61" s="10"/>
      <c r="C61" s="10"/>
      <c r="D61" s="11"/>
      <c r="E61" s="11"/>
      <c r="F61" s="11"/>
      <c r="G61" s="11"/>
      <c r="H61" s="11"/>
      <c r="I61" s="11"/>
      <c r="J61" s="12"/>
      <c r="K61" s="12"/>
      <c r="L61" s="13" t="str">
        <f aca="false">IF(I61="","",I61+H61)</f>
        <v/>
      </c>
      <c r="M61" s="14" t="str">
        <f aca="false">IF(I61="","",IF($B$4="Privat",0,IFERROR(INDEX(Gebühren!$B$2:$B$18,MATCH(C61,Gebühren!$A$2:$A$18,0)),0.14)))</f>
        <v/>
      </c>
      <c r="N61" s="13" t="str">
        <f aca="false">IF(I61="","",IF($B$4="Privat",0,IF(OR(IFERROR(INDEX(Gebühren!$C$2:$C$18,MATCH(C61,Gebühren!$A$2:$A$18,0)),0)=0,L61&lt;=IFERROR(INDEX(Gebühren!$C$2:$C$18,MATCH(C61,Gebühren!$A$2:$A$18,0)),0)),L61*M61,INDEX(Gebühren!$C$2:$C$18,MATCH(C61,Gebühren!$A$2:$A$18,0))*M61+(L61-INDEX(Gebühren!$C$2:$C$18,MATCH(C61,Gebühren!$A$2:$A$18,0)))*IFERROR(INDEX(Gebühren!$D$2:$D$18,MATCH(C61,Gebühren!$A$2:$A$18,0)),0.03))))</f>
        <v/>
      </c>
      <c r="O61" s="13" t="str">
        <f aca="false">IF(I61="","",IF($B$4="Privat",0,IF(L61&lt;=10,Gebühren!$B$21,Gebühren!$B$22)))</f>
        <v/>
      </c>
      <c r="P61" s="13" t="str">
        <f aca="false">IF(I61="","",IF($B$4="Privat",0,Gebühren!$B$23/MAX(1,$B$9)))</f>
        <v/>
      </c>
      <c r="Q61" s="13" t="str">
        <f aca="false">IF(I61="","",L61*IF(J61="",$B$8,J61))</f>
        <v/>
      </c>
      <c r="R61" s="13" t="str">
        <f aca="false">IF(I61="","",N61+O61+P61+Q61)</f>
        <v/>
      </c>
      <c r="S61" s="13" t="str">
        <f aca="false">IF(I61="","",IF($B$6="Ja",0,R61*0.19))</f>
        <v/>
      </c>
      <c r="T61" s="13" t="str">
        <f aca="false">IF(I61="","",L61-L61/(1+$B$5))</f>
        <v/>
      </c>
      <c r="U61" s="13" t="str">
        <f aca="false">IF(I61="","",D61+E61+F61+G61)</f>
        <v/>
      </c>
      <c r="V61" s="13" t="str">
        <f aca="false">IF(I61="","",U61*K61)</f>
        <v/>
      </c>
      <c r="W61" s="13" t="str">
        <f aca="false">IF(I61="","",L61-R61-S61-T61-U61-V61)</f>
        <v/>
      </c>
      <c r="X61" s="15" t="str">
        <f aca="false">IF(I61="","",IF(L61=0,0,W61/L61))</f>
        <v/>
      </c>
      <c r="Y61" s="15" t="str">
        <f aca="false">IF(I61="","",IF(D61=0,0,W61/D61))</f>
        <v/>
      </c>
      <c r="Z61" s="13" t="str">
        <f aca="false">IF(I61="","",IF(1-((M61+IF(J61="",$B$8,J61))*(1+IF($B$6="Ja",0,0.19))+$B$5/(1+$B$5))&lt;=0,"n/a",((O61+P61)*(1+IF($B$6="Ja",0,0.19))+U61+V61)/(1-((M61+IF(J61="",$B$8,J61))*(1+IF($B$6="Ja",0,0.19))+$B$5/(1+$B$5)))-H61))</f>
        <v/>
      </c>
      <c r="AA61" s="13" t="str">
        <f aca="false">IF(I61="","",IF(1-((M61+IF(J61="",$B$8,J61))*(1+IF($B$6="Ja",0,0.19))+$B$5/(1+$B$5))-$B$7&lt;=0,"n/a",((O61+P61)*(1+IF($B$6="Ja",0,0.19))+U61+V61)/(1-((M61+IF(J61="",$B$8,J61))*(1+IF($B$6="Ja",0,0.19))+$B$5/(1+$B$5))-$B$7)-H61))</f>
        <v/>
      </c>
      <c r="AB61" s="16" t="str">
        <f aca="false">IF(I61="","",IF(W61&lt;0,"Verlust",IF(X61&lt;$B$7,"unter Wunschmarge","ok")))</f>
        <v/>
      </c>
    </row>
    <row r="62" customFormat="false" ht="15" hidden="false" customHeight="false" outlineLevel="0" collapsed="false">
      <c r="A62" s="10" t="n">
        <v>50</v>
      </c>
      <c r="B62" s="10"/>
      <c r="C62" s="10"/>
      <c r="D62" s="11"/>
      <c r="E62" s="11"/>
      <c r="F62" s="11"/>
      <c r="G62" s="11"/>
      <c r="H62" s="11"/>
      <c r="I62" s="11"/>
      <c r="J62" s="12"/>
      <c r="K62" s="12"/>
      <c r="L62" s="13" t="str">
        <f aca="false">IF(I62="","",I62+H62)</f>
        <v/>
      </c>
      <c r="M62" s="14" t="str">
        <f aca="false">IF(I62="","",IF($B$4="Privat",0,IFERROR(INDEX(Gebühren!$B$2:$B$18,MATCH(C62,Gebühren!$A$2:$A$18,0)),0.14)))</f>
        <v/>
      </c>
      <c r="N62" s="13" t="str">
        <f aca="false">IF(I62="","",IF($B$4="Privat",0,IF(OR(IFERROR(INDEX(Gebühren!$C$2:$C$18,MATCH(C62,Gebühren!$A$2:$A$18,0)),0)=0,L62&lt;=IFERROR(INDEX(Gebühren!$C$2:$C$18,MATCH(C62,Gebühren!$A$2:$A$18,0)),0)),L62*M62,INDEX(Gebühren!$C$2:$C$18,MATCH(C62,Gebühren!$A$2:$A$18,0))*M62+(L62-INDEX(Gebühren!$C$2:$C$18,MATCH(C62,Gebühren!$A$2:$A$18,0)))*IFERROR(INDEX(Gebühren!$D$2:$D$18,MATCH(C62,Gebühren!$A$2:$A$18,0)),0.03))))</f>
        <v/>
      </c>
      <c r="O62" s="13" t="str">
        <f aca="false">IF(I62="","",IF($B$4="Privat",0,IF(L62&lt;=10,Gebühren!$B$21,Gebühren!$B$22)))</f>
        <v/>
      </c>
      <c r="P62" s="13" t="str">
        <f aca="false">IF(I62="","",IF($B$4="Privat",0,Gebühren!$B$23/MAX(1,$B$9)))</f>
        <v/>
      </c>
      <c r="Q62" s="13" t="str">
        <f aca="false">IF(I62="","",L62*IF(J62="",$B$8,J62))</f>
        <v/>
      </c>
      <c r="R62" s="13" t="str">
        <f aca="false">IF(I62="","",N62+O62+P62+Q62)</f>
        <v/>
      </c>
      <c r="S62" s="13" t="str">
        <f aca="false">IF(I62="","",IF($B$6="Ja",0,R62*0.19))</f>
        <v/>
      </c>
      <c r="T62" s="13" t="str">
        <f aca="false">IF(I62="","",L62-L62/(1+$B$5))</f>
        <v/>
      </c>
      <c r="U62" s="13" t="str">
        <f aca="false">IF(I62="","",D62+E62+F62+G62)</f>
        <v/>
      </c>
      <c r="V62" s="13" t="str">
        <f aca="false">IF(I62="","",U62*K62)</f>
        <v/>
      </c>
      <c r="W62" s="13" t="str">
        <f aca="false">IF(I62="","",L62-R62-S62-T62-U62-V62)</f>
        <v/>
      </c>
      <c r="X62" s="15" t="str">
        <f aca="false">IF(I62="","",IF(L62=0,0,W62/L62))</f>
        <v/>
      </c>
      <c r="Y62" s="15" t="str">
        <f aca="false">IF(I62="","",IF(D62=0,0,W62/D62))</f>
        <v/>
      </c>
      <c r="Z62" s="13" t="str">
        <f aca="false">IF(I62="","",IF(1-((M62+IF(J62="",$B$8,J62))*(1+IF($B$6="Ja",0,0.19))+$B$5/(1+$B$5))&lt;=0,"n/a",((O62+P62)*(1+IF($B$6="Ja",0,0.19))+U62+V62)/(1-((M62+IF(J62="",$B$8,J62))*(1+IF($B$6="Ja",0,0.19))+$B$5/(1+$B$5)))-H62))</f>
        <v/>
      </c>
      <c r="AA62" s="13" t="str">
        <f aca="false">IF(I62="","",IF(1-((M62+IF(J62="",$B$8,J62))*(1+IF($B$6="Ja",0,0.19))+$B$5/(1+$B$5))-$B$7&lt;=0,"n/a",((O62+P62)*(1+IF($B$6="Ja",0,0.19))+U62+V62)/(1-((M62+IF(J62="",$B$8,J62))*(1+IF($B$6="Ja",0,0.19))+$B$5/(1+$B$5))-$B$7)-H62))</f>
        <v/>
      </c>
      <c r="AB62" s="16" t="str">
        <f aca="false">IF(I62="","",IF(W62&lt;0,"Verlust",IF(X62&lt;$B$7,"unter Wunschmarge","ok")))</f>
        <v/>
      </c>
    </row>
    <row r="63" customFormat="false" ht="15" hidden="false" customHeight="false" outlineLevel="0" collapsed="false">
      <c r="A63" s="10" t="n">
        <v>51</v>
      </c>
      <c r="B63" s="10"/>
      <c r="C63" s="10"/>
      <c r="D63" s="11"/>
      <c r="E63" s="11"/>
      <c r="F63" s="11"/>
      <c r="G63" s="11"/>
      <c r="H63" s="11"/>
      <c r="I63" s="11"/>
      <c r="J63" s="12"/>
      <c r="K63" s="12"/>
      <c r="L63" s="13" t="str">
        <f aca="false">IF(I63="","",I63+H63)</f>
        <v/>
      </c>
      <c r="M63" s="14" t="str">
        <f aca="false">IF(I63="","",IF($B$4="Privat",0,IFERROR(INDEX(Gebühren!$B$2:$B$18,MATCH(C63,Gebühren!$A$2:$A$18,0)),0.14)))</f>
        <v/>
      </c>
      <c r="N63" s="13" t="str">
        <f aca="false">IF(I63="","",IF($B$4="Privat",0,IF(OR(IFERROR(INDEX(Gebühren!$C$2:$C$18,MATCH(C63,Gebühren!$A$2:$A$18,0)),0)=0,L63&lt;=IFERROR(INDEX(Gebühren!$C$2:$C$18,MATCH(C63,Gebühren!$A$2:$A$18,0)),0)),L63*M63,INDEX(Gebühren!$C$2:$C$18,MATCH(C63,Gebühren!$A$2:$A$18,0))*M63+(L63-INDEX(Gebühren!$C$2:$C$18,MATCH(C63,Gebühren!$A$2:$A$18,0)))*IFERROR(INDEX(Gebühren!$D$2:$D$18,MATCH(C63,Gebühren!$A$2:$A$18,0)),0.03))))</f>
        <v/>
      </c>
      <c r="O63" s="13" t="str">
        <f aca="false">IF(I63="","",IF($B$4="Privat",0,IF(L63&lt;=10,Gebühren!$B$21,Gebühren!$B$22)))</f>
        <v/>
      </c>
      <c r="P63" s="13" t="str">
        <f aca="false">IF(I63="","",IF($B$4="Privat",0,Gebühren!$B$23/MAX(1,$B$9)))</f>
        <v/>
      </c>
      <c r="Q63" s="13" t="str">
        <f aca="false">IF(I63="","",L63*IF(J63="",$B$8,J63))</f>
        <v/>
      </c>
      <c r="R63" s="13" t="str">
        <f aca="false">IF(I63="","",N63+O63+P63+Q63)</f>
        <v/>
      </c>
      <c r="S63" s="13" t="str">
        <f aca="false">IF(I63="","",IF($B$6="Ja",0,R63*0.19))</f>
        <v/>
      </c>
      <c r="T63" s="13" t="str">
        <f aca="false">IF(I63="","",L63-L63/(1+$B$5))</f>
        <v/>
      </c>
      <c r="U63" s="13" t="str">
        <f aca="false">IF(I63="","",D63+E63+F63+G63)</f>
        <v/>
      </c>
      <c r="V63" s="13" t="str">
        <f aca="false">IF(I63="","",U63*K63)</f>
        <v/>
      </c>
      <c r="W63" s="13" t="str">
        <f aca="false">IF(I63="","",L63-R63-S63-T63-U63-V63)</f>
        <v/>
      </c>
      <c r="X63" s="15" t="str">
        <f aca="false">IF(I63="","",IF(L63=0,0,W63/L63))</f>
        <v/>
      </c>
      <c r="Y63" s="15" t="str">
        <f aca="false">IF(I63="","",IF(D63=0,0,W63/D63))</f>
        <v/>
      </c>
      <c r="Z63" s="13" t="str">
        <f aca="false">IF(I63="","",IF(1-((M63+IF(J63="",$B$8,J63))*(1+IF($B$6="Ja",0,0.19))+$B$5/(1+$B$5))&lt;=0,"n/a",((O63+P63)*(1+IF($B$6="Ja",0,0.19))+U63+V63)/(1-((M63+IF(J63="",$B$8,J63))*(1+IF($B$6="Ja",0,0.19))+$B$5/(1+$B$5)))-H63))</f>
        <v/>
      </c>
      <c r="AA63" s="13" t="str">
        <f aca="false">IF(I63="","",IF(1-((M63+IF(J63="",$B$8,J63))*(1+IF($B$6="Ja",0,0.19))+$B$5/(1+$B$5))-$B$7&lt;=0,"n/a",((O63+P63)*(1+IF($B$6="Ja",0,0.19))+U63+V63)/(1-((M63+IF(J63="",$B$8,J63))*(1+IF($B$6="Ja",0,0.19))+$B$5/(1+$B$5))-$B$7)-H63))</f>
        <v/>
      </c>
      <c r="AB63" s="16" t="str">
        <f aca="false">IF(I63="","",IF(W63&lt;0,"Verlust",IF(X63&lt;$B$7,"unter Wunschmarge","ok")))</f>
        <v/>
      </c>
    </row>
    <row r="64" customFormat="false" ht="15" hidden="false" customHeight="false" outlineLevel="0" collapsed="false">
      <c r="A64" s="10" t="n">
        <v>52</v>
      </c>
      <c r="B64" s="10"/>
      <c r="C64" s="10"/>
      <c r="D64" s="11"/>
      <c r="E64" s="11"/>
      <c r="F64" s="11"/>
      <c r="G64" s="11"/>
      <c r="H64" s="11"/>
      <c r="I64" s="11"/>
      <c r="J64" s="12"/>
      <c r="K64" s="12"/>
      <c r="L64" s="13" t="str">
        <f aca="false">IF(I64="","",I64+H64)</f>
        <v/>
      </c>
      <c r="M64" s="14" t="str">
        <f aca="false">IF(I64="","",IF($B$4="Privat",0,IFERROR(INDEX(Gebühren!$B$2:$B$18,MATCH(C64,Gebühren!$A$2:$A$18,0)),0.14)))</f>
        <v/>
      </c>
      <c r="N64" s="13" t="str">
        <f aca="false">IF(I64="","",IF($B$4="Privat",0,IF(OR(IFERROR(INDEX(Gebühren!$C$2:$C$18,MATCH(C64,Gebühren!$A$2:$A$18,0)),0)=0,L64&lt;=IFERROR(INDEX(Gebühren!$C$2:$C$18,MATCH(C64,Gebühren!$A$2:$A$18,0)),0)),L64*M64,INDEX(Gebühren!$C$2:$C$18,MATCH(C64,Gebühren!$A$2:$A$18,0))*M64+(L64-INDEX(Gebühren!$C$2:$C$18,MATCH(C64,Gebühren!$A$2:$A$18,0)))*IFERROR(INDEX(Gebühren!$D$2:$D$18,MATCH(C64,Gebühren!$A$2:$A$18,0)),0.03))))</f>
        <v/>
      </c>
      <c r="O64" s="13" t="str">
        <f aca="false">IF(I64="","",IF($B$4="Privat",0,IF(L64&lt;=10,Gebühren!$B$21,Gebühren!$B$22)))</f>
        <v/>
      </c>
      <c r="P64" s="13" t="str">
        <f aca="false">IF(I64="","",IF($B$4="Privat",0,Gebühren!$B$23/MAX(1,$B$9)))</f>
        <v/>
      </c>
      <c r="Q64" s="13" t="str">
        <f aca="false">IF(I64="","",L64*IF(J64="",$B$8,J64))</f>
        <v/>
      </c>
      <c r="R64" s="13" t="str">
        <f aca="false">IF(I64="","",N64+O64+P64+Q64)</f>
        <v/>
      </c>
      <c r="S64" s="13" t="str">
        <f aca="false">IF(I64="","",IF($B$6="Ja",0,R64*0.19))</f>
        <v/>
      </c>
      <c r="T64" s="13" t="str">
        <f aca="false">IF(I64="","",L64-L64/(1+$B$5))</f>
        <v/>
      </c>
      <c r="U64" s="13" t="str">
        <f aca="false">IF(I64="","",D64+E64+F64+G64)</f>
        <v/>
      </c>
      <c r="V64" s="13" t="str">
        <f aca="false">IF(I64="","",U64*K64)</f>
        <v/>
      </c>
      <c r="W64" s="13" t="str">
        <f aca="false">IF(I64="","",L64-R64-S64-T64-U64-V64)</f>
        <v/>
      </c>
      <c r="X64" s="15" t="str">
        <f aca="false">IF(I64="","",IF(L64=0,0,W64/L64))</f>
        <v/>
      </c>
      <c r="Y64" s="15" t="str">
        <f aca="false">IF(I64="","",IF(D64=0,0,W64/D64))</f>
        <v/>
      </c>
      <c r="Z64" s="13" t="str">
        <f aca="false">IF(I64="","",IF(1-((M64+IF(J64="",$B$8,J64))*(1+IF($B$6="Ja",0,0.19))+$B$5/(1+$B$5))&lt;=0,"n/a",((O64+P64)*(1+IF($B$6="Ja",0,0.19))+U64+V64)/(1-((M64+IF(J64="",$B$8,J64))*(1+IF($B$6="Ja",0,0.19))+$B$5/(1+$B$5)))-H64))</f>
        <v/>
      </c>
      <c r="AA64" s="13" t="str">
        <f aca="false">IF(I64="","",IF(1-((M64+IF(J64="",$B$8,J64))*(1+IF($B$6="Ja",0,0.19))+$B$5/(1+$B$5))-$B$7&lt;=0,"n/a",((O64+P64)*(1+IF($B$6="Ja",0,0.19))+U64+V64)/(1-((M64+IF(J64="",$B$8,J64))*(1+IF($B$6="Ja",0,0.19))+$B$5/(1+$B$5))-$B$7)-H64))</f>
        <v/>
      </c>
      <c r="AB64" s="16" t="str">
        <f aca="false">IF(I64="","",IF(W64&lt;0,"Verlust",IF(X64&lt;$B$7,"unter Wunschmarge","ok")))</f>
        <v/>
      </c>
    </row>
    <row r="65" customFormat="false" ht="15" hidden="false" customHeight="false" outlineLevel="0" collapsed="false">
      <c r="A65" s="10" t="n">
        <v>53</v>
      </c>
      <c r="B65" s="10"/>
      <c r="C65" s="10"/>
      <c r="D65" s="11"/>
      <c r="E65" s="11"/>
      <c r="F65" s="11"/>
      <c r="G65" s="11"/>
      <c r="H65" s="11"/>
      <c r="I65" s="11"/>
      <c r="J65" s="12"/>
      <c r="K65" s="12"/>
      <c r="L65" s="13" t="str">
        <f aca="false">IF(I65="","",I65+H65)</f>
        <v/>
      </c>
      <c r="M65" s="14" t="str">
        <f aca="false">IF(I65="","",IF($B$4="Privat",0,IFERROR(INDEX(Gebühren!$B$2:$B$18,MATCH(C65,Gebühren!$A$2:$A$18,0)),0.14)))</f>
        <v/>
      </c>
      <c r="N65" s="13" t="str">
        <f aca="false">IF(I65="","",IF($B$4="Privat",0,IF(OR(IFERROR(INDEX(Gebühren!$C$2:$C$18,MATCH(C65,Gebühren!$A$2:$A$18,0)),0)=0,L65&lt;=IFERROR(INDEX(Gebühren!$C$2:$C$18,MATCH(C65,Gebühren!$A$2:$A$18,0)),0)),L65*M65,INDEX(Gebühren!$C$2:$C$18,MATCH(C65,Gebühren!$A$2:$A$18,0))*M65+(L65-INDEX(Gebühren!$C$2:$C$18,MATCH(C65,Gebühren!$A$2:$A$18,0)))*IFERROR(INDEX(Gebühren!$D$2:$D$18,MATCH(C65,Gebühren!$A$2:$A$18,0)),0.03))))</f>
        <v/>
      </c>
      <c r="O65" s="13" t="str">
        <f aca="false">IF(I65="","",IF($B$4="Privat",0,IF(L65&lt;=10,Gebühren!$B$21,Gebühren!$B$22)))</f>
        <v/>
      </c>
      <c r="P65" s="13" t="str">
        <f aca="false">IF(I65="","",IF($B$4="Privat",0,Gebühren!$B$23/MAX(1,$B$9)))</f>
        <v/>
      </c>
      <c r="Q65" s="13" t="str">
        <f aca="false">IF(I65="","",L65*IF(J65="",$B$8,J65))</f>
        <v/>
      </c>
      <c r="R65" s="13" t="str">
        <f aca="false">IF(I65="","",N65+O65+P65+Q65)</f>
        <v/>
      </c>
      <c r="S65" s="13" t="str">
        <f aca="false">IF(I65="","",IF($B$6="Ja",0,R65*0.19))</f>
        <v/>
      </c>
      <c r="T65" s="13" t="str">
        <f aca="false">IF(I65="","",L65-L65/(1+$B$5))</f>
        <v/>
      </c>
      <c r="U65" s="13" t="str">
        <f aca="false">IF(I65="","",D65+E65+F65+G65)</f>
        <v/>
      </c>
      <c r="V65" s="13" t="str">
        <f aca="false">IF(I65="","",U65*K65)</f>
        <v/>
      </c>
      <c r="W65" s="13" t="str">
        <f aca="false">IF(I65="","",L65-R65-S65-T65-U65-V65)</f>
        <v/>
      </c>
      <c r="X65" s="15" t="str">
        <f aca="false">IF(I65="","",IF(L65=0,0,W65/L65))</f>
        <v/>
      </c>
      <c r="Y65" s="15" t="str">
        <f aca="false">IF(I65="","",IF(D65=0,0,W65/D65))</f>
        <v/>
      </c>
      <c r="Z65" s="13" t="str">
        <f aca="false">IF(I65="","",IF(1-((M65+IF(J65="",$B$8,J65))*(1+IF($B$6="Ja",0,0.19))+$B$5/(1+$B$5))&lt;=0,"n/a",((O65+P65)*(1+IF($B$6="Ja",0,0.19))+U65+V65)/(1-((M65+IF(J65="",$B$8,J65))*(1+IF($B$6="Ja",0,0.19))+$B$5/(1+$B$5)))-H65))</f>
        <v/>
      </c>
      <c r="AA65" s="13" t="str">
        <f aca="false">IF(I65="","",IF(1-((M65+IF(J65="",$B$8,J65))*(1+IF($B$6="Ja",0,0.19))+$B$5/(1+$B$5))-$B$7&lt;=0,"n/a",((O65+P65)*(1+IF($B$6="Ja",0,0.19))+U65+V65)/(1-((M65+IF(J65="",$B$8,J65))*(1+IF($B$6="Ja",0,0.19))+$B$5/(1+$B$5))-$B$7)-H65))</f>
        <v/>
      </c>
      <c r="AB65" s="16" t="str">
        <f aca="false">IF(I65="","",IF(W65&lt;0,"Verlust",IF(X65&lt;$B$7,"unter Wunschmarge","ok")))</f>
        <v/>
      </c>
    </row>
    <row r="66" customFormat="false" ht="15" hidden="false" customHeight="false" outlineLevel="0" collapsed="false">
      <c r="A66" s="10" t="n">
        <v>54</v>
      </c>
      <c r="B66" s="10"/>
      <c r="C66" s="10"/>
      <c r="D66" s="11"/>
      <c r="E66" s="11"/>
      <c r="F66" s="11"/>
      <c r="G66" s="11"/>
      <c r="H66" s="11"/>
      <c r="I66" s="11"/>
      <c r="J66" s="12"/>
      <c r="K66" s="12"/>
      <c r="L66" s="13" t="str">
        <f aca="false">IF(I66="","",I66+H66)</f>
        <v/>
      </c>
      <c r="M66" s="14" t="str">
        <f aca="false">IF(I66="","",IF($B$4="Privat",0,IFERROR(INDEX(Gebühren!$B$2:$B$18,MATCH(C66,Gebühren!$A$2:$A$18,0)),0.14)))</f>
        <v/>
      </c>
      <c r="N66" s="13" t="str">
        <f aca="false">IF(I66="","",IF($B$4="Privat",0,IF(OR(IFERROR(INDEX(Gebühren!$C$2:$C$18,MATCH(C66,Gebühren!$A$2:$A$18,0)),0)=0,L66&lt;=IFERROR(INDEX(Gebühren!$C$2:$C$18,MATCH(C66,Gebühren!$A$2:$A$18,0)),0)),L66*M66,INDEX(Gebühren!$C$2:$C$18,MATCH(C66,Gebühren!$A$2:$A$18,0))*M66+(L66-INDEX(Gebühren!$C$2:$C$18,MATCH(C66,Gebühren!$A$2:$A$18,0)))*IFERROR(INDEX(Gebühren!$D$2:$D$18,MATCH(C66,Gebühren!$A$2:$A$18,0)),0.03))))</f>
        <v/>
      </c>
      <c r="O66" s="13" t="str">
        <f aca="false">IF(I66="","",IF($B$4="Privat",0,IF(L66&lt;=10,Gebühren!$B$21,Gebühren!$B$22)))</f>
        <v/>
      </c>
      <c r="P66" s="13" t="str">
        <f aca="false">IF(I66="","",IF($B$4="Privat",0,Gebühren!$B$23/MAX(1,$B$9)))</f>
        <v/>
      </c>
      <c r="Q66" s="13" t="str">
        <f aca="false">IF(I66="","",L66*IF(J66="",$B$8,J66))</f>
        <v/>
      </c>
      <c r="R66" s="13" t="str">
        <f aca="false">IF(I66="","",N66+O66+P66+Q66)</f>
        <v/>
      </c>
      <c r="S66" s="13" t="str">
        <f aca="false">IF(I66="","",IF($B$6="Ja",0,R66*0.19))</f>
        <v/>
      </c>
      <c r="T66" s="13" t="str">
        <f aca="false">IF(I66="","",L66-L66/(1+$B$5))</f>
        <v/>
      </c>
      <c r="U66" s="13" t="str">
        <f aca="false">IF(I66="","",D66+E66+F66+G66)</f>
        <v/>
      </c>
      <c r="V66" s="13" t="str">
        <f aca="false">IF(I66="","",U66*K66)</f>
        <v/>
      </c>
      <c r="W66" s="13" t="str">
        <f aca="false">IF(I66="","",L66-R66-S66-T66-U66-V66)</f>
        <v/>
      </c>
      <c r="X66" s="15" t="str">
        <f aca="false">IF(I66="","",IF(L66=0,0,W66/L66))</f>
        <v/>
      </c>
      <c r="Y66" s="15" t="str">
        <f aca="false">IF(I66="","",IF(D66=0,0,W66/D66))</f>
        <v/>
      </c>
      <c r="Z66" s="13" t="str">
        <f aca="false">IF(I66="","",IF(1-((M66+IF(J66="",$B$8,J66))*(1+IF($B$6="Ja",0,0.19))+$B$5/(1+$B$5))&lt;=0,"n/a",((O66+P66)*(1+IF($B$6="Ja",0,0.19))+U66+V66)/(1-((M66+IF(J66="",$B$8,J66))*(1+IF($B$6="Ja",0,0.19))+$B$5/(1+$B$5)))-H66))</f>
        <v/>
      </c>
      <c r="AA66" s="13" t="str">
        <f aca="false">IF(I66="","",IF(1-((M66+IF(J66="",$B$8,J66))*(1+IF($B$6="Ja",0,0.19))+$B$5/(1+$B$5))-$B$7&lt;=0,"n/a",((O66+P66)*(1+IF($B$6="Ja",0,0.19))+U66+V66)/(1-((M66+IF(J66="",$B$8,J66))*(1+IF($B$6="Ja",0,0.19))+$B$5/(1+$B$5))-$B$7)-H66))</f>
        <v/>
      </c>
      <c r="AB66" s="16" t="str">
        <f aca="false">IF(I66="","",IF(W66&lt;0,"Verlust",IF(X66&lt;$B$7,"unter Wunschmarge","ok")))</f>
        <v/>
      </c>
    </row>
    <row r="67" customFormat="false" ht="15" hidden="false" customHeight="false" outlineLevel="0" collapsed="false">
      <c r="A67" s="10" t="n">
        <v>55</v>
      </c>
      <c r="B67" s="10"/>
      <c r="C67" s="10"/>
      <c r="D67" s="11"/>
      <c r="E67" s="11"/>
      <c r="F67" s="11"/>
      <c r="G67" s="11"/>
      <c r="H67" s="11"/>
      <c r="I67" s="11"/>
      <c r="J67" s="12"/>
      <c r="K67" s="12"/>
      <c r="L67" s="13" t="str">
        <f aca="false">IF(I67="","",I67+H67)</f>
        <v/>
      </c>
      <c r="M67" s="14" t="str">
        <f aca="false">IF(I67="","",IF($B$4="Privat",0,IFERROR(INDEX(Gebühren!$B$2:$B$18,MATCH(C67,Gebühren!$A$2:$A$18,0)),0.14)))</f>
        <v/>
      </c>
      <c r="N67" s="13" t="str">
        <f aca="false">IF(I67="","",IF($B$4="Privat",0,IF(OR(IFERROR(INDEX(Gebühren!$C$2:$C$18,MATCH(C67,Gebühren!$A$2:$A$18,0)),0)=0,L67&lt;=IFERROR(INDEX(Gebühren!$C$2:$C$18,MATCH(C67,Gebühren!$A$2:$A$18,0)),0)),L67*M67,INDEX(Gebühren!$C$2:$C$18,MATCH(C67,Gebühren!$A$2:$A$18,0))*M67+(L67-INDEX(Gebühren!$C$2:$C$18,MATCH(C67,Gebühren!$A$2:$A$18,0)))*IFERROR(INDEX(Gebühren!$D$2:$D$18,MATCH(C67,Gebühren!$A$2:$A$18,0)),0.03))))</f>
        <v/>
      </c>
      <c r="O67" s="13" t="str">
        <f aca="false">IF(I67="","",IF($B$4="Privat",0,IF(L67&lt;=10,Gebühren!$B$21,Gebühren!$B$22)))</f>
        <v/>
      </c>
      <c r="P67" s="13" t="str">
        <f aca="false">IF(I67="","",IF($B$4="Privat",0,Gebühren!$B$23/MAX(1,$B$9)))</f>
        <v/>
      </c>
      <c r="Q67" s="13" t="str">
        <f aca="false">IF(I67="","",L67*IF(J67="",$B$8,J67))</f>
        <v/>
      </c>
      <c r="R67" s="13" t="str">
        <f aca="false">IF(I67="","",N67+O67+P67+Q67)</f>
        <v/>
      </c>
      <c r="S67" s="13" t="str">
        <f aca="false">IF(I67="","",IF($B$6="Ja",0,R67*0.19))</f>
        <v/>
      </c>
      <c r="T67" s="13" t="str">
        <f aca="false">IF(I67="","",L67-L67/(1+$B$5))</f>
        <v/>
      </c>
      <c r="U67" s="13" t="str">
        <f aca="false">IF(I67="","",D67+E67+F67+G67)</f>
        <v/>
      </c>
      <c r="V67" s="13" t="str">
        <f aca="false">IF(I67="","",U67*K67)</f>
        <v/>
      </c>
      <c r="W67" s="13" t="str">
        <f aca="false">IF(I67="","",L67-R67-S67-T67-U67-V67)</f>
        <v/>
      </c>
      <c r="X67" s="15" t="str">
        <f aca="false">IF(I67="","",IF(L67=0,0,W67/L67))</f>
        <v/>
      </c>
      <c r="Y67" s="15" t="str">
        <f aca="false">IF(I67="","",IF(D67=0,0,W67/D67))</f>
        <v/>
      </c>
      <c r="Z67" s="13" t="str">
        <f aca="false">IF(I67="","",IF(1-((M67+IF(J67="",$B$8,J67))*(1+IF($B$6="Ja",0,0.19))+$B$5/(1+$B$5))&lt;=0,"n/a",((O67+P67)*(1+IF($B$6="Ja",0,0.19))+U67+V67)/(1-((M67+IF(J67="",$B$8,J67))*(1+IF($B$6="Ja",0,0.19))+$B$5/(1+$B$5)))-H67))</f>
        <v/>
      </c>
      <c r="AA67" s="13" t="str">
        <f aca="false">IF(I67="","",IF(1-((M67+IF(J67="",$B$8,J67))*(1+IF($B$6="Ja",0,0.19))+$B$5/(1+$B$5))-$B$7&lt;=0,"n/a",((O67+P67)*(1+IF($B$6="Ja",0,0.19))+U67+V67)/(1-((M67+IF(J67="",$B$8,J67))*(1+IF($B$6="Ja",0,0.19))+$B$5/(1+$B$5))-$B$7)-H67))</f>
        <v/>
      </c>
      <c r="AB67" s="16" t="str">
        <f aca="false">IF(I67="","",IF(W67&lt;0,"Verlust",IF(X67&lt;$B$7,"unter Wunschmarge","ok")))</f>
        <v/>
      </c>
    </row>
    <row r="68" customFormat="false" ht="15" hidden="false" customHeight="false" outlineLevel="0" collapsed="false">
      <c r="A68" s="10" t="n">
        <v>56</v>
      </c>
      <c r="B68" s="10"/>
      <c r="C68" s="10"/>
      <c r="D68" s="11"/>
      <c r="E68" s="11"/>
      <c r="F68" s="11"/>
      <c r="G68" s="11"/>
      <c r="H68" s="11"/>
      <c r="I68" s="11"/>
      <c r="J68" s="12"/>
      <c r="K68" s="12"/>
      <c r="L68" s="13" t="str">
        <f aca="false">IF(I68="","",I68+H68)</f>
        <v/>
      </c>
      <c r="M68" s="14" t="str">
        <f aca="false">IF(I68="","",IF($B$4="Privat",0,IFERROR(INDEX(Gebühren!$B$2:$B$18,MATCH(C68,Gebühren!$A$2:$A$18,0)),0.14)))</f>
        <v/>
      </c>
      <c r="N68" s="13" t="str">
        <f aca="false">IF(I68="","",IF($B$4="Privat",0,IF(OR(IFERROR(INDEX(Gebühren!$C$2:$C$18,MATCH(C68,Gebühren!$A$2:$A$18,0)),0)=0,L68&lt;=IFERROR(INDEX(Gebühren!$C$2:$C$18,MATCH(C68,Gebühren!$A$2:$A$18,0)),0)),L68*M68,INDEX(Gebühren!$C$2:$C$18,MATCH(C68,Gebühren!$A$2:$A$18,0))*M68+(L68-INDEX(Gebühren!$C$2:$C$18,MATCH(C68,Gebühren!$A$2:$A$18,0)))*IFERROR(INDEX(Gebühren!$D$2:$D$18,MATCH(C68,Gebühren!$A$2:$A$18,0)),0.03))))</f>
        <v/>
      </c>
      <c r="O68" s="13" t="str">
        <f aca="false">IF(I68="","",IF($B$4="Privat",0,IF(L68&lt;=10,Gebühren!$B$21,Gebühren!$B$22)))</f>
        <v/>
      </c>
      <c r="P68" s="13" t="str">
        <f aca="false">IF(I68="","",IF($B$4="Privat",0,Gebühren!$B$23/MAX(1,$B$9)))</f>
        <v/>
      </c>
      <c r="Q68" s="13" t="str">
        <f aca="false">IF(I68="","",L68*IF(J68="",$B$8,J68))</f>
        <v/>
      </c>
      <c r="R68" s="13" t="str">
        <f aca="false">IF(I68="","",N68+O68+P68+Q68)</f>
        <v/>
      </c>
      <c r="S68" s="13" t="str">
        <f aca="false">IF(I68="","",IF($B$6="Ja",0,R68*0.19))</f>
        <v/>
      </c>
      <c r="T68" s="13" t="str">
        <f aca="false">IF(I68="","",L68-L68/(1+$B$5))</f>
        <v/>
      </c>
      <c r="U68" s="13" t="str">
        <f aca="false">IF(I68="","",D68+E68+F68+G68)</f>
        <v/>
      </c>
      <c r="V68" s="13" t="str">
        <f aca="false">IF(I68="","",U68*K68)</f>
        <v/>
      </c>
      <c r="W68" s="13" t="str">
        <f aca="false">IF(I68="","",L68-R68-S68-T68-U68-V68)</f>
        <v/>
      </c>
      <c r="X68" s="15" t="str">
        <f aca="false">IF(I68="","",IF(L68=0,0,W68/L68))</f>
        <v/>
      </c>
      <c r="Y68" s="15" t="str">
        <f aca="false">IF(I68="","",IF(D68=0,0,W68/D68))</f>
        <v/>
      </c>
      <c r="Z68" s="13" t="str">
        <f aca="false">IF(I68="","",IF(1-((M68+IF(J68="",$B$8,J68))*(1+IF($B$6="Ja",0,0.19))+$B$5/(1+$B$5))&lt;=0,"n/a",((O68+P68)*(1+IF($B$6="Ja",0,0.19))+U68+V68)/(1-((M68+IF(J68="",$B$8,J68))*(1+IF($B$6="Ja",0,0.19))+$B$5/(1+$B$5)))-H68))</f>
        <v/>
      </c>
      <c r="AA68" s="13" t="str">
        <f aca="false">IF(I68="","",IF(1-((M68+IF(J68="",$B$8,J68))*(1+IF($B$6="Ja",0,0.19))+$B$5/(1+$B$5))-$B$7&lt;=0,"n/a",((O68+P68)*(1+IF($B$6="Ja",0,0.19))+U68+V68)/(1-((M68+IF(J68="",$B$8,J68))*(1+IF($B$6="Ja",0,0.19))+$B$5/(1+$B$5))-$B$7)-H68))</f>
        <v/>
      </c>
      <c r="AB68" s="16" t="str">
        <f aca="false">IF(I68="","",IF(W68&lt;0,"Verlust",IF(X68&lt;$B$7,"unter Wunschmarge","ok")))</f>
        <v/>
      </c>
    </row>
    <row r="69" customFormat="false" ht="15" hidden="false" customHeight="false" outlineLevel="0" collapsed="false">
      <c r="A69" s="10" t="n">
        <v>57</v>
      </c>
      <c r="B69" s="10"/>
      <c r="C69" s="10"/>
      <c r="D69" s="11"/>
      <c r="E69" s="11"/>
      <c r="F69" s="11"/>
      <c r="G69" s="11"/>
      <c r="H69" s="11"/>
      <c r="I69" s="11"/>
      <c r="J69" s="12"/>
      <c r="K69" s="12"/>
      <c r="L69" s="13" t="str">
        <f aca="false">IF(I69="","",I69+H69)</f>
        <v/>
      </c>
      <c r="M69" s="14" t="str">
        <f aca="false">IF(I69="","",IF($B$4="Privat",0,IFERROR(INDEX(Gebühren!$B$2:$B$18,MATCH(C69,Gebühren!$A$2:$A$18,0)),0.14)))</f>
        <v/>
      </c>
      <c r="N69" s="13" t="str">
        <f aca="false">IF(I69="","",IF($B$4="Privat",0,IF(OR(IFERROR(INDEX(Gebühren!$C$2:$C$18,MATCH(C69,Gebühren!$A$2:$A$18,0)),0)=0,L69&lt;=IFERROR(INDEX(Gebühren!$C$2:$C$18,MATCH(C69,Gebühren!$A$2:$A$18,0)),0)),L69*M69,INDEX(Gebühren!$C$2:$C$18,MATCH(C69,Gebühren!$A$2:$A$18,0))*M69+(L69-INDEX(Gebühren!$C$2:$C$18,MATCH(C69,Gebühren!$A$2:$A$18,0)))*IFERROR(INDEX(Gebühren!$D$2:$D$18,MATCH(C69,Gebühren!$A$2:$A$18,0)),0.03))))</f>
        <v/>
      </c>
      <c r="O69" s="13" t="str">
        <f aca="false">IF(I69="","",IF($B$4="Privat",0,IF(L69&lt;=10,Gebühren!$B$21,Gebühren!$B$22)))</f>
        <v/>
      </c>
      <c r="P69" s="13" t="str">
        <f aca="false">IF(I69="","",IF($B$4="Privat",0,Gebühren!$B$23/MAX(1,$B$9)))</f>
        <v/>
      </c>
      <c r="Q69" s="13" t="str">
        <f aca="false">IF(I69="","",L69*IF(J69="",$B$8,J69))</f>
        <v/>
      </c>
      <c r="R69" s="13" t="str">
        <f aca="false">IF(I69="","",N69+O69+P69+Q69)</f>
        <v/>
      </c>
      <c r="S69" s="13" t="str">
        <f aca="false">IF(I69="","",IF($B$6="Ja",0,R69*0.19))</f>
        <v/>
      </c>
      <c r="T69" s="13" t="str">
        <f aca="false">IF(I69="","",L69-L69/(1+$B$5))</f>
        <v/>
      </c>
      <c r="U69" s="13" t="str">
        <f aca="false">IF(I69="","",D69+E69+F69+G69)</f>
        <v/>
      </c>
      <c r="V69" s="13" t="str">
        <f aca="false">IF(I69="","",U69*K69)</f>
        <v/>
      </c>
      <c r="W69" s="13" t="str">
        <f aca="false">IF(I69="","",L69-R69-S69-T69-U69-V69)</f>
        <v/>
      </c>
      <c r="X69" s="15" t="str">
        <f aca="false">IF(I69="","",IF(L69=0,0,W69/L69))</f>
        <v/>
      </c>
      <c r="Y69" s="15" t="str">
        <f aca="false">IF(I69="","",IF(D69=0,0,W69/D69))</f>
        <v/>
      </c>
      <c r="Z69" s="13" t="str">
        <f aca="false">IF(I69="","",IF(1-((M69+IF(J69="",$B$8,J69))*(1+IF($B$6="Ja",0,0.19))+$B$5/(1+$B$5))&lt;=0,"n/a",((O69+P69)*(1+IF($B$6="Ja",0,0.19))+U69+V69)/(1-((M69+IF(J69="",$B$8,J69))*(1+IF($B$6="Ja",0,0.19))+$B$5/(1+$B$5)))-H69))</f>
        <v/>
      </c>
      <c r="AA69" s="13" t="str">
        <f aca="false">IF(I69="","",IF(1-((M69+IF(J69="",$B$8,J69))*(1+IF($B$6="Ja",0,0.19))+$B$5/(1+$B$5))-$B$7&lt;=0,"n/a",((O69+P69)*(1+IF($B$6="Ja",0,0.19))+U69+V69)/(1-((M69+IF(J69="",$B$8,J69))*(1+IF($B$6="Ja",0,0.19))+$B$5/(1+$B$5))-$B$7)-H69))</f>
        <v/>
      </c>
      <c r="AB69" s="16" t="str">
        <f aca="false">IF(I69="","",IF(W69&lt;0,"Verlust",IF(X69&lt;$B$7,"unter Wunschmarge","ok")))</f>
        <v/>
      </c>
    </row>
    <row r="70" customFormat="false" ht="15" hidden="false" customHeight="false" outlineLevel="0" collapsed="false">
      <c r="A70" s="10" t="n">
        <v>58</v>
      </c>
      <c r="B70" s="10"/>
      <c r="C70" s="10"/>
      <c r="D70" s="11"/>
      <c r="E70" s="11"/>
      <c r="F70" s="11"/>
      <c r="G70" s="11"/>
      <c r="H70" s="11"/>
      <c r="I70" s="11"/>
      <c r="J70" s="12"/>
      <c r="K70" s="12"/>
      <c r="L70" s="13" t="str">
        <f aca="false">IF(I70="","",I70+H70)</f>
        <v/>
      </c>
      <c r="M70" s="14" t="str">
        <f aca="false">IF(I70="","",IF($B$4="Privat",0,IFERROR(INDEX(Gebühren!$B$2:$B$18,MATCH(C70,Gebühren!$A$2:$A$18,0)),0.14)))</f>
        <v/>
      </c>
      <c r="N70" s="13" t="str">
        <f aca="false">IF(I70="","",IF($B$4="Privat",0,IF(OR(IFERROR(INDEX(Gebühren!$C$2:$C$18,MATCH(C70,Gebühren!$A$2:$A$18,0)),0)=0,L70&lt;=IFERROR(INDEX(Gebühren!$C$2:$C$18,MATCH(C70,Gebühren!$A$2:$A$18,0)),0)),L70*M70,INDEX(Gebühren!$C$2:$C$18,MATCH(C70,Gebühren!$A$2:$A$18,0))*M70+(L70-INDEX(Gebühren!$C$2:$C$18,MATCH(C70,Gebühren!$A$2:$A$18,0)))*IFERROR(INDEX(Gebühren!$D$2:$D$18,MATCH(C70,Gebühren!$A$2:$A$18,0)),0.03))))</f>
        <v/>
      </c>
      <c r="O70" s="13" t="str">
        <f aca="false">IF(I70="","",IF($B$4="Privat",0,IF(L70&lt;=10,Gebühren!$B$21,Gebühren!$B$22)))</f>
        <v/>
      </c>
      <c r="P70" s="13" t="str">
        <f aca="false">IF(I70="","",IF($B$4="Privat",0,Gebühren!$B$23/MAX(1,$B$9)))</f>
        <v/>
      </c>
      <c r="Q70" s="13" t="str">
        <f aca="false">IF(I70="","",L70*IF(J70="",$B$8,J70))</f>
        <v/>
      </c>
      <c r="R70" s="13" t="str">
        <f aca="false">IF(I70="","",N70+O70+P70+Q70)</f>
        <v/>
      </c>
      <c r="S70" s="13" t="str">
        <f aca="false">IF(I70="","",IF($B$6="Ja",0,R70*0.19))</f>
        <v/>
      </c>
      <c r="T70" s="13" t="str">
        <f aca="false">IF(I70="","",L70-L70/(1+$B$5))</f>
        <v/>
      </c>
      <c r="U70" s="13" t="str">
        <f aca="false">IF(I70="","",D70+E70+F70+G70)</f>
        <v/>
      </c>
      <c r="V70" s="13" t="str">
        <f aca="false">IF(I70="","",U70*K70)</f>
        <v/>
      </c>
      <c r="W70" s="13" t="str">
        <f aca="false">IF(I70="","",L70-R70-S70-T70-U70-V70)</f>
        <v/>
      </c>
      <c r="X70" s="15" t="str">
        <f aca="false">IF(I70="","",IF(L70=0,0,W70/L70))</f>
        <v/>
      </c>
      <c r="Y70" s="15" t="str">
        <f aca="false">IF(I70="","",IF(D70=0,0,W70/D70))</f>
        <v/>
      </c>
      <c r="Z70" s="13" t="str">
        <f aca="false">IF(I70="","",IF(1-((M70+IF(J70="",$B$8,J70))*(1+IF($B$6="Ja",0,0.19))+$B$5/(1+$B$5))&lt;=0,"n/a",((O70+P70)*(1+IF($B$6="Ja",0,0.19))+U70+V70)/(1-((M70+IF(J70="",$B$8,J70))*(1+IF($B$6="Ja",0,0.19))+$B$5/(1+$B$5)))-H70))</f>
        <v/>
      </c>
      <c r="AA70" s="13" t="str">
        <f aca="false">IF(I70="","",IF(1-((M70+IF(J70="",$B$8,J70))*(1+IF($B$6="Ja",0,0.19))+$B$5/(1+$B$5))-$B$7&lt;=0,"n/a",((O70+P70)*(1+IF($B$6="Ja",0,0.19))+U70+V70)/(1-((M70+IF(J70="",$B$8,J70))*(1+IF($B$6="Ja",0,0.19))+$B$5/(1+$B$5))-$B$7)-H70))</f>
        <v/>
      </c>
      <c r="AB70" s="16" t="str">
        <f aca="false">IF(I70="","",IF(W70&lt;0,"Verlust",IF(X70&lt;$B$7,"unter Wunschmarge","ok")))</f>
        <v/>
      </c>
    </row>
    <row r="71" customFormat="false" ht="15" hidden="false" customHeight="false" outlineLevel="0" collapsed="false">
      <c r="A71" s="10" t="n">
        <v>59</v>
      </c>
      <c r="B71" s="10"/>
      <c r="C71" s="10"/>
      <c r="D71" s="11"/>
      <c r="E71" s="11"/>
      <c r="F71" s="11"/>
      <c r="G71" s="11"/>
      <c r="H71" s="11"/>
      <c r="I71" s="11"/>
      <c r="J71" s="12"/>
      <c r="K71" s="12"/>
      <c r="L71" s="13" t="str">
        <f aca="false">IF(I71="","",I71+H71)</f>
        <v/>
      </c>
      <c r="M71" s="14" t="str">
        <f aca="false">IF(I71="","",IF($B$4="Privat",0,IFERROR(INDEX(Gebühren!$B$2:$B$18,MATCH(C71,Gebühren!$A$2:$A$18,0)),0.14)))</f>
        <v/>
      </c>
      <c r="N71" s="13" t="str">
        <f aca="false">IF(I71="","",IF($B$4="Privat",0,IF(OR(IFERROR(INDEX(Gebühren!$C$2:$C$18,MATCH(C71,Gebühren!$A$2:$A$18,0)),0)=0,L71&lt;=IFERROR(INDEX(Gebühren!$C$2:$C$18,MATCH(C71,Gebühren!$A$2:$A$18,0)),0)),L71*M71,INDEX(Gebühren!$C$2:$C$18,MATCH(C71,Gebühren!$A$2:$A$18,0))*M71+(L71-INDEX(Gebühren!$C$2:$C$18,MATCH(C71,Gebühren!$A$2:$A$18,0)))*IFERROR(INDEX(Gebühren!$D$2:$D$18,MATCH(C71,Gebühren!$A$2:$A$18,0)),0.03))))</f>
        <v/>
      </c>
      <c r="O71" s="13" t="str">
        <f aca="false">IF(I71="","",IF($B$4="Privat",0,IF(L71&lt;=10,Gebühren!$B$21,Gebühren!$B$22)))</f>
        <v/>
      </c>
      <c r="P71" s="13" t="str">
        <f aca="false">IF(I71="","",IF($B$4="Privat",0,Gebühren!$B$23/MAX(1,$B$9)))</f>
        <v/>
      </c>
      <c r="Q71" s="13" t="str">
        <f aca="false">IF(I71="","",L71*IF(J71="",$B$8,J71))</f>
        <v/>
      </c>
      <c r="R71" s="13" t="str">
        <f aca="false">IF(I71="","",N71+O71+P71+Q71)</f>
        <v/>
      </c>
      <c r="S71" s="13" t="str">
        <f aca="false">IF(I71="","",IF($B$6="Ja",0,R71*0.19))</f>
        <v/>
      </c>
      <c r="T71" s="13" t="str">
        <f aca="false">IF(I71="","",L71-L71/(1+$B$5))</f>
        <v/>
      </c>
      <c r="U71" s="13" t="str">
        <f aca="false">IF(I71="","",D71+E71+F71+G71)</f>
        <v/>
      </c>
      <c r="V71" s="13" t="str">
        <f aca="false">IF(I71="","",U71*K71)</f>
        <v/>
      </c>
      <c r="W71" s="13" t="str">
        <f aca="false">IF(I71="","",L71-R71-S71-T71-U71-V71)</f>
        <v/>
      </c>
      <c r="X71" s="15" t="str">
        <f aca="false">IF(I71="","",IF(L71=0,0,W71/L71))</f>
        <v/>
      </c>
      <c r="Y71" s="15" t="str">
        <f aca="false">IF(I71="","",IF(D71=0,0,W71/D71))</f>
        <v/>
      </c>
      <c r="Z71" s="13" t="str">
        <f aca="false">IF(I71="","",IF(1-((M71+IF(J71="",$B$8,J71))*(1+IF($B$6="Ja",0,0.19))+$B$5/(1+$B$5))&lt;=0,"n/a",((O71+P71)*(1+IF($B$6="Ja",0,0.19))+U71+V71)/(1-((M71+IF(J71="",$B$8,J71))*(1+IF($B$6="Ja",0,0.19))+$B$5/(1+$B$5)))-H71))</f>
        <v/>
      </c>
      <c r="AA71" s="13" t="str">
        <f aca="false">IF(I71="","",IF(1-((M71+IF(J71="",$B$8,J71))*(1+IF($B$6="Ja",0,0.19))+$B$5/(1+$B$5))-$B$7&lt;=0,"n/a",((O71+P71)*(1+IF($B$6="Ja",0,0.19))+U71+V71)/(1-((M71+IF(J71="",$B$8,J71))*(1+IF($B$6="Ja",0,0.19))+$B$5/(1+$B$5))-$B$7)-H71))</f>
        <v/>
      </c>
      <c r="AB71" s="16" t="str">
        <f aca="false">IF(I71="","",IF(W71&lt;0,"Verlust",IF(X71&lt;$B$7,"unter Wunschmarge","ok")))</f>
        <v/>
      </c>
    </row>
    <row r="72" customFormat="false" ht="15" hidden="false" customHeight="false" outlineLevel="0" collapsed="false">
      <c r="A72" s="10" t="n">
        <v>60</v>
      </c>
      <c r="B72" s="10"/>
      <c r="C72" s="10"/>
      <c r="D72" s="11"/>
      <c r="E72" s="11"/>
      <c r="F72" s="11"/>
      <c r="G72" s="11"/>
      <c r="H72" s="11"/>
      <c r="I72" s="11"/>
      <c r="J72" s="12"/>
      <c r="K72" s="12"/>
      <c r="L72" s="13" t="str">
        <f aca="false">IF(I72="","",I72+H72)</f>
        <v/>
      </c>
      <c r="M72" s="14" t="str">
        <f aca="false">IF(I72="","",IF($B$4="Privat",0,IFERROR(INDEX(Gebühren!$B$2:$B$18,MATCH(C72,Gebühren!$A$2:$A$18,0)),0.14)))</f>
        <v/>
      </c>
      <c r="N72" s="13" t="str">
        <f aca="false">IF(I72="","",IF($B$4="Privat",0,IF(OR(IFERROR(INDEX(Gebühren!$C$2:$C$18,MATCH(C72,Gebühren!$A$2:$A$18,0)),0)=0,L72&lt;=IFERROR(INDEX(Gebühren!$C$2:$C$18,MATCH(C72,Gebühren!$A$2:$A$18,0)),0)),L72*M72,INDEX(Gebühren!$C$2:$C$18,MATCH(C72,Gebühren!$A$2:$A$18,0))*M72+(L72-INDEX(Gebühren!$C$2:$C$18,MATCH(C72,Gebühren!$A$2:$A$18,0)))*IFERROR(INDEX(Gebühren!$D$2:$D$18,MATCH(C72,Gebühren!$A$2:$A$18,0)),0.03))))</f>
        <v/>
      </c>
      <c r="O72" s="13" t="str">
        <f aca="false">IF(I72="","",IF($B$4="Privat",0,IF(L72&lt;=10,Gebühren!$B$21,Gebühren!$B$22)))</f>
        <v/>
      </c>
      <c r="P72" s="13" t="str">
        <f aca="false">IF(I72="","",IF($B$4="Privat",0,Gebühren!$B$23/MAX(1,$B$9)))</f>
        <v/>
      </c>
      <c r="Q72" s="13" t="str">
        <f aca="false">IF(I72="","",L72*IF(J72="",$B$8,J72))</f>
        <v/>
      </c>
      <c r="R72" s="13" t="str">
        <f aca="false">IF(I72="","",N72+O72+P72+Q72)</f>
        <v/>
      </c>
      <c r="S72" s="13" t="str">
        <f aca="false">IF(I72="","",IF($B$6="Ja",0,R72*0.19))</f>
        <v/>
      </c>
      <c r="T72" s="13" t="str">
        <f aca="false">IF(I72="","",L72-L72/(1+$B$5))</f>
        <v/>
      </c>
      <c r="U72" s="13" t="str">
        <f aca="false">IF(I72="","",D72+E72+F72+G72)</f>
        <v/>
      </c>
      <c r="V72" s="13" t="str">
        <f aca="false">IF(I72="","",U72*K72)</f>
        <v/>
      </c>
      <c r="W72" s="13" t="str">
        <f aca="false">IF(I72="","",L72-R72-S72-T72-U72-V72)</f>
        <v/>
      </c>
      <c r="X72" s="15" t="str">
        <f aca="false">IF(I72="","",IF(L72=0,0,W72/L72))</f>
        <v/>
      </c>
      <c r="Y72" s="15" t="str">
        <f aca="false">IF(I72="","",IF(D72=0,0,W72/D72))</f>
        <v/>
      </c>
      <c r="Z72" s="13" t="str">
        <f aca="false">IF(I72="","",IF(1-((M72+IF(J72="",$B$8,J72))*(1+IF($B$6="Ja",0,0.19))+$B$5/(1+$B$5))&lt;=0,"n/a",((O72+P72)*(1+IF($B$6="Ja",0,0.19))+U72+V72)/(1-((M72+IF(J72="",$B$8,J72))*(1+IF($B$6="Ja",0,0.19))+$B$5/(1+$B$5)))-H72))</f>
        <v/>
      </c>
      <c r="AA72" s="13" t="str">
        <f aca="false">IF(I72="","",IF(1-((M72+IF(J72="",$B$8,J72))*(1+IF($B$6="Ja",0,0.19))+$B$5/(1+$B$5))-$B$7&lt;=0,"n/a",((O72+P72)*(1+IF($B$6="Ja",0,0.19))+U72+V72)/(1-((M72+IF(J72="",$B$8,J72))*(1+IF($B$6="Ja",0,0.19))+$B$5/(1+$B$5))-$B$7)-H72))</f>
        <v/>
      </c>
      <c r="AB72" s="16" t="str">
        <f aca="false">IF(I72="","",IF(W72&lt;0,"Verlust",IF(X72&lt;$B$7,"unter Wunschmarge","ok")))</f>
        <v/>
      </c>
    </row>
    <row r="74" customFormat="false" ht="15" hidden="false" customHeight="false" outlineLevel="0" collapsed="false">
      <c r="B74" s="4" t="s">
        <v>73</v>
      </c>
      <c r="L74" s="13" t="n">
        <f aca="false">SUM(L13:L72)</f>
        <v>59.96</v>
      </c>
      <c r="R74" s="13" t="n">
        <f aca="false">SUM(R13:R72)</f>
        <v>10.0948</v>
      </c>
      <c r="W74" s="13" t="n">
        <f aca="false">SUM(W13:W72)</f>
        <v>9.10475462184874</v>
      </c>
      <c r="X74" s="15" t="n">
        <f aca="false">IF(L74=0,0,W74/L74)</f>
        <v>0.151847141792007</v>
      </c>
    </row>
    <row r="75" customFormat="false" ht="15" hidden="false" customHeight="false" outlineLevel="0" collapsed="false">
      <c r="B75" s="7" t="s">
        <v>74</v>
      </c>
    </row>
  </sheetData>
  <autoFilter ref="A12:AB72"/>
  <dataValidations count="3">
    <dataValidation allowBlank="false" errorStyle="stop" operator="between" showDropDown="false" showErrorMessage="false" showInputMessage="false" sqref="B4" type="list">
      <formula1>"Privat,Gewerblich"</formula1>
      <formula2>0</formula2>
    </dataValidation>
    <dataValidation allowBlank="false" errorStyle="stop" operator="between" showDropDown="false" showErrorMessage="false" showInputMessage="false" sqref="B6" type="list">
      <formula1>"Ja,Nein"</formula1>
      <formula2>0</formula2>
    </dataValidation>
    <dataValidation allowBlank="true" errorStyle="stop" operator="between" showDropDown="false" showErrorMessage="false" showInputMessage="false" sqref="C13:C72" type="list">
      <formula1>Gebühren!$A$2:$A$18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26.85" hidden="false" customHeight="false" outlineLevel="0" collapsed="false">
      <c r="A1" s="17" t="s">
        <v>75</v>
      </c>
      <c r="B1" s="17" t="s">
        <v>76</v>
      </c>
      <c r="C1" s="17" t="s">
        <v>77</v>
      </c>
      <c r="D1" s="17" t="s">
        <v>78</v>
      </c>
      <c r="E1" s="17" t="s">
        <v>79</v>
      </c>
    </row>
    <row r="2" customFormat="false" ht="26.85" hidden="false" customHeight="false" outlineLevel="0" collapsed="false">
      <c r="A2" s="18" t="s">
        <v>80</v>
      </c>
      <c r="B2" s="19" t="n">
        <v>0.07</v>
      </c>
      <c r="C2" s="20"/>
      <c r="D2" s="19"/>
      <c r="E2" s="21" t="s">
        <v>81</v>
      </c>
    </row>
    <row r="3" customFormat="false" ht="26.85" hidden="false" customHeight="false" outlineLevel="0" collapsed="false">
      <c r="A3" s="18" t="s">
        <v>69</v>
      </c>
      <c r="B3" s="19" t="n">
        <v>0.12</v>
      </c>
      <c r="C3" s="20"/>
      <c r="D3" s="19"/>
      <c r="E3" s="21" t="s">
        <v>82</v>
      </c>
    </row>
    <row r="4" customFormat="false" ht="15" hidden="false" customHeight="false" outlineLevel="0" collapsed="false">
      <c r="A4" s="18" t="s">
        <v>83</v>
      </c>
      <c r="B4" s="19" t="n">
        <v>0.13</v>
      </c>
      <c r="C4" s="20"/>
      <c r="D4" s="19"/>
      <c r="E4" s="21"/>
    </row>
    <row r="5" customFormat="false" ht="26.85" hidden="false" customHeight="false" outlineLevel="0" collapsed="false">
      <c r="A5" s="18" t="s">
        <v>72</v>
      </c>
      <c r="B5" s="19" t="n">
        <v>0.14</v>
      </c>
      <c r="C5" s="20"/>
      <c r="D5" s="19"/>
      <c r="E5" s="21"/>
    </row>
    <row r="6" customFormat="false" ht="26.85" hidden="false" customHeight="false" outlineLevel="0" collapsed="false">
      <c r="A6" s="18" t="s">
        <v>84</v>
      </c>
      <c r="B6" s="19" t="n">
        <v>0.14</v>
      </c>
      <c r="C6" s="20"/>
      <c r="D6" s="19"/>
      <c r="E6" s="21"/>
    </row>
    <row r="7" customFormat="false" ht="15" hidden="false" customHeight="false" outlineLevel="0" collapsed="false">
      <c r="A7" s="18" t="s">
        <v>85</v>
      </c>
      <c r="B7" s="19" t="n">
        <v>0.14</v>
      </c>
      <c r="C7" s="20"/>
      <c r="D7" s="19"/>
      <c r="E7" s="21"/>
    </row>
    <row r="8" customFormat="false" ht="15" hidden="false" customHeight="false" outlineLevel="0" collapsed="false">
      <c r="A8" s="18" t="s">
        <v>86</v>
      </c>
      <c r="B8" s="19" t="n">
        <v>0.11</v>
      </c>
      <c r="C8" s="20"/>
      <c r="D8" s="19"/>
      <c r="E8" s="21"/>
    </row>
    <row r="9" customFormat="false" ht="15" hidden="false" customHeight="false" outlineLevel="0" collapsed="false">
      <c r="A9" s="18" t="s">
        <v>87</v>
      </c>
      <c r="B9" s="19" t="n">
        <v>0.12</v>
      </c>
      <c r="C9" s="20" t="n">
        <v>990</v>
      </c>
      <c r="D9" s="19" t="n">
        <v>0.03</v>
      </c>
      <c r="E9" s="21" t="s">
        <v>88</v>
      </c>
    </row>
    <row r="10" customFormat="false" ht="15" hidden="false" customHeight="false" outlineLevel="0" collapsed="false">
      <c r="A10" s="18" t="s">
        <v>89</v>
      </c>
      <c r="B10" s="19" t="n">
        <v>0.12</v>
      </c>
      <c r="C10" s="20" t="n">
        <v>990</v>
      </c>
      <c r="D10" s="19" t="n">
        <v>0.03</v>
      </c>
      <c r="E10" s="21" t="s">
        <v>90</v>
      </c>
    </row>
    <row r="11" customFormat="false" ht="15" hidden="false" customHeight="false" outlineLevel="0" collapsed="false">
      <c r="A11" s="18" t="s">
        <v>91</v>
      </c>
      <c r="B11" s="19" t="n">
        <v>0.16</v>
      </c>
      <c r="C11" s="20" t="n">
        <v>990</v>
      </c>
      <c r="D11" s="19" t="n">
        <v>0.03</v>
      </c>
      <c r="E11" s="21" t="s">
        <v>92</v>
      </c>
    </row>
    <row r="12" customFormat="false" ht="15" hidden="false" customHeight="false" outlineLevel="0" collapsed="false">
      <c r="A12" s="18" t="s">
        <v>93</v>
      </c>
      <c r="B12" s="19" t="n">
        <v>0.12</v>
      </c>
      <c r="C12" s="20" t="n">
        <v>990</v>
      </c>
      <c r="D12" s="19" t="n">
        <v>0.03</v>
      </c>
      <c r="E12" s="21"/>
    </row>
    <row r="13" customFormat="false" ht="15" hidden="false" customHeight="false" outlineLevel="0" collapsed="false">
      <c r="A13" s="18" t="s">
        <v>94</v>
      </c>
      <c r="B13" s="19" t="n">
        <v>0.12</v>
      </c>
      <c r="C13" s="20" t="n">
        <v>990</v>
      </c>
      <c r="D13" s="19" t="n">
        <v>0.03</v>
      </c>
      <c r="E13" s="21"/>
    </row>
    <row r="14" customFormat="false" ht="15" hidden="false" customHeight="false" outlineLevel="0" collapsed="false">
      <c r="A14" s="18" t="s">
        <v>95</v>
      </c>
      <c r="B14" s="19" t="n">
        <v>0.11</v>
      </c>
      <c r="C14" s="20" t="n">
        <v>990</v>
      </c>
      <c r="D14" s="19" t="n">
        <v>0.03</v>
      </c>
      <c r="E14" s="21"/>
    </row>
    <row r="15" customFormat="false" ht="15" hidden="false" customHeight="false" outlineLevel="0" collapsed="false">
      <c r="A15" s="18" t="s">
        <v>96</v>
      </c>
      <c r="B15" s="19" t="n">
        <v>0.12</v>
      </c>
      <c r="C15" s="20" t="n">
        <v>990</v>
      </c>
      <c r="D15" s="19" t="n">
        <v>0.03</v>
      </c>
      <c r="E15" s="21"/>
    </row>
    <row r="16" customFormat="false" ht="15" hidden="false" customHeight="false" outlineLevel="0" collapsed="false">
      <c r="A16" s="18" t="s">
        <v>97</v>
      </c>
      <c r="B16" s="19" t="n">
        <v>0.065</v>
      </c>
      <c r="C16" s="20" t="n">
        <v>990</v>
      </c>
      <c r="D16" s="19" t="n">
        <v>0.03</v>
      </c>
      <c r="E16" s="21"/>
    </row>
    <row r="17" customFormat="false" ht="26.85" hidden="false" customHeight="false" outlineLevel="0" collapsed="false">
      <c r="A17" s="18" t="s">
        <v>98</v>
      </c>
      <c r="B17" s="19" t="n">
        <v>0.14</v>
      </c>
      <c r="C17" s="20"/>
      <c r="D17" s="19"/>
      <c r="E17" s="21" t="s">
        <v>99</v>
      </c>
    </row>
    <row r="18" customFormat="false" ht="15" hidden="false" customHeight="false" outlineLevel="0" collapsed="false">
      <c r="A18" s="18" t="s">
        <v>100</v>
      </c>
      <c r="B18" s="19" t="n">
        <v>0.14</v>
      </c>
      <c r="C18" s="20"/>
      <c r="D18" s="19"/>
      <c r="E18" s="21" t="s">
        <v>101</v>
      </c>
    </row>
    <row r="20" customFormat="false" ht="15" hidden="false" customHeight="false" outlineLevel="0" collapsed="false">
      <c r="A20" s="4" t="s">
        <v>102</v>
      </c>
    </row>
    <row r="21" customFormat="false" ht="15" hidden="false" customHeight="false" outlineLevel="0" collapsed="false">
      <c r="A21" s="5" t="s">
        <v>103</v>
      </c>
      <c r="B21" s="22" t="n">
        <v>0.35</v>
      </c>
    </row>
    <row r="22" customFormat="false" ht="15" hidden="false" customHeight="false" outlineLevel="0" collapsed="false">
      <c r="A22" s="5" t="s">
        <v>104</v>
      </c>
      <c r="B22" s="22" t="n">
        <v>0.45</v>
      </c>
    </row>
    <row r="23" customFormat="false" ht="15" hidden="false" customHeight="false" outlineLevel="0" collapsed="false">
      <c r="A23" s="5" t="s">
        <v>105</v>
      </c>
      <c r="B23" s="22" t="n">
        <v>0.35</v>
      </c>
    </row>
    <row r="24" customFormat="false" ht="15" hidden="false" customHeight="false" outlineLevel="0" collapsed="false">
      <c r="A24" s="5" t="s">
        <v>106</v>
      </c>
      <c r="B24" s="22" t="n">
        <v>0.5</v>
      </c>
    </row>
    <row r="25" customFormat="false" ht="15" hidden="false" customHeight="false" outlineLevel="0" collapsed="false">
      <c r="A25" s="5" t="s">
        <v>107</v>
      </c>
    </row>
    <row r="26" customFormat="false" ht="15" hidden="false" customHeight="false" outlineLevel="0" collapsed="false">
      <c r="A26" s="5" t="s">
        <v>108</v>
      </c>
    </row>
    <row r="27" customFormat="false" ht="15" hidden="false" customHeight="false" outlineLevel="0" collapsed="false">
      <c r="A27" s="5" t="s">
        <v>109</v>
      </c>
    </row>
    <row r="29" customFormat="false" ht="15" hidden="false" customHeight="false" outlineLevel="0" collapsed="false">
      <c r="A29" s="4" t="s">
        <v>110</v>
      </c>
    </row>
    <row r="30" customFormat="false" ht="26.85" hidden="false" customHeight="false" outlineLevel="0" collapsed="false">
      <c r="A30" s="5" t="s">
        <v>111</v>
      </c>
      <c r="B30" s="23" t="s">
        <v>112</v>
      </c>
    </row>
    <row r="31" customFormat="false" ht="26.85" hidden="false" customHeight="false" outlineLevel="0" collapsed="false">
      <c r="A31" s="5" t="s">
        <v>113</v>
      </c>
      <c r="B31" s="23" t="s">
        <v>114</v>
      </c>
    </row>
    <row r="32" customFormat="false" ht="26.85" hidden="false" customHeight="false" outlineLevel="0" collapsed="false">
      <c r="A32" s="5" t="s">
        <v>115</v>
      </c>
      <c r="B32" s="23" t="s">
        <v>116</v>
      </c>
    </row>
    <row r="33" customFormat="false" ht="128.35" hidden="false" customHeight="false" outlineLevel="0" collapsed="false">
      <c r="A33" s="5" t="s">
        <v>117</v>
      </c>
      <c r="B33" s="23" t="s">
        <v>118</v>
      </c>
    </row>
    <row r="35" customFormat="false" ht="15" hidden="false" customHeight="false" outlineLevel="0" collapsed="false">
      <c r="A35" s="7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6"/>
    <col collapsed="false" customWidth="true" hidden="false" outlineLevel="0" max="4" min="4" style="0" width="50"/>
    <col collapsed="false" customWidth="true" hidden="false" outlineLevel="0" max="13" min="5" style="0" width="26"/>
    <col collapsed="false" customWidth="true" hidden="false" outlineLevel="0" max="14" min="14" style="0" width="50"/>
    <col collapsed="false" customWidth="true" hidden="false" outlineLevel="0" max="16" min="15" style="0" width="26"/>
    <col collapsed="false" customWidth="true" hidden="false" outlineLevel="0" max="17" min="17" style="0" width="60"/>
    <col collapsed="false" customWidth="true" hidden="false" outlineLevel="0" max="47" min="18" style="0" width="26"/>
  </cols>
  <sheetData>
    <row r="1" customFormat="false" ht="45" hidden="false" customHeight="true" outlineLevel="0" collapsed="false">
      <c r="A1" s="17" t="s">
        <v>120</v>
      </c>
      <c r="B1" s="17" t="s">
        <v>121</v>
      </c>
      <c r="C1" s="17" t="s">
        <v>122</v>
      </c>
      <c r="D1" s="17" t="s">
        <v>123</v>
      </c>
      <c r="E1" s="17" t="s">
        <v>124</v>
      </c>
      <c r="F1" s="17" t="s">
        <v>125</v>
      </c>
      <c r="G1" s="17" t="s">
        <v>126</v>
      </c>
      <c r="H1" s="17" t="s">
        <v>127</v>
      </c>
      <c r="I1" s="17" t="s">
        <v>128</v>
      </c>
      <c r="J1" s="17" t="s">
        <v>129</v>
      </c>
      <c r="K1" s="17" t="s">
        <v>130</v>
      </c>
      <c r="L1" s="17" t="s">
        <v>131</v>
      </c>
      <c r="M1" s="17" t="s">
        <v>132</v>
      </c>
      <c r="N1" s="17" t="s">
        <v>133</v>
      </c>
      <c r="O1" s="17" t="s">
        <v>134</v>
      </c>
      <c r="P1" s="17" t="s">
        <v>135</v>
      </c>
      <c r="Q1" s="17" t="s">
        <v>136</v>
      </c>
      <c r="R1" s="17" t="s">
        <v>137</v>
      </c>
      <c r="S1" s="17" t="s">
        <v>138</v>
      </c>
      <c r="T1" s="17" t="s">
        <v>139</v>
      </c>
      <c r="U1" s="17" t="s">
        <v>140</v>
      </c>
      <c r="V1" s="17" t="s">
        <v>141</v>
      </c>
      <c r="W1" s="17" t="s">
        <v>142</v>
      </c>
      <c r="X1" s="17" t="s">
        <v>143</v>
      </c>
      <c r="Y1" s="17" t="s">
        <v>144</v>
      </c>
      <c r="Z1" s="17" t="s">
        <v>145</v>
      </c>
      <c r="AA1" s="17" t="s">
        <v>146</v>
      </c>
      <c r="AB1" s="17" t="s">
        <v>147</v>
      </c>
      <c r="AC1" s="17" t="s">
        <v>148</v>
      </c>
      <c r="AD1" s="17" t="s">
        <v>149</v>
      </c>
      <c r="AE1" s="17" t="s">
        <v>150</v>
      </c>
      <c r="AF1" s="17" t="s">
        <v>151</v>
      </c>
      <c r="AG1" s="17" t="s">
        <v>152</v>
      </c>
      <c r="AH1" s="17" t="s">
        <v>153</v>
      </c>
      <c r="AI1" s="17" t="s">
        <v>154</v>
      </c>
      <c r="AJ1" s="17" t="s">
        <v>155</v>
      </c>
      <c r="AK1" s="17" t="s">
        <v>156</v>
      </c>
      <c r="AL1" s="17" t="s">
        <v>157</v>
      </c>
      <c r="AM1" s="17" t="s">
        <v>158</v>
      </c>
      <c r="AN1" s="17" t="s">
        <v>159</v>
      </c>
      <c r="AO1" s="17" t="s">
        <v>160</v>
      </c>
      <c r="AP1" s="17" t="s">
        <v>161</v>
      </c>
      <c r="AQ1" s="17" t="s">
        <v>162</v>
      </c>
      <c r="AR1" s="17" t="s">
        <v>163</v>
      </c>
      <c r="AS1" s="17" t="s">
        <v>164</v>
      </c>
      <c r="AT1" s="17" t="s">
        <v>165</v>
      </c>
      <c r="AU1" s="17" t="s">
        <v>166</v>
      </c>
    </row>
    <row r="2" customFormat="false" ht="150" hidden="false" customHeight="true" outlineLevel="0" collapsed="false">
      <c r="A2" s="24" t="s">
        <v>167</v>
      </c>
      <c r="B2" s="24" t="s">
        <v>168</v>
      </c>
      <c r="C2" s="24" t="s">
        <v>169</v>
      </c>
      <c r="D2" s="24" t="s">
        <v>170</v>
      </c>
      <c r="E2" s="24" t="s">
        <v>171</v>
      </c>
      <c r="F2" s="24" t="s">
        <v>172</v>
      </c>
      <c r="G2" s="24" t="s">
        <v>173</v>
      </c>
      <c r="H2" s="24" t="s">
        <v>174</v>
      </c>
      <c r="I2" s="24" t="s">
        <v>175</v>
      </c>
      <c r="J2" s="24" t="s">
        <v>176</v>
      </c>
      <c r="K2" s="24" t="s">
        <v>177</v>
      </c>
      <c r="L2" s="24" t="s">
        <v>178</v>
      </c>
      <c r="M2" s="24" t="s">
        <v>179</v>
      </c>
      <c r="N2" s="24" t="s">
        <v>180</v>
      </c>
      <c r="O2" s="24" t="s">
        <v>181</v>
      </c>
      <c r="P2" s="24" t="s">
        <v>182</v>
      </c>
      <c r="Q2" s="24" t="s">
        <v>183</v>
      </c>
      <c r="R2" s="24" t="s">
        <v>184</v>
      </c>
      <c r="S2" s="24" t="s">
        <v>185</v>
      </c>
      <c r="T2" s="24" t="s">
        <v>186</v>
      </c>
      <c r="U2" s="24" t="s">
        <v>187</v>
      </c>
      <c r="V2" s="24" t="s">
        <v>188</v>
      </c>
      <c r="W2" s="24" t="s">
        <v>189</v>
      </c>
      <c r="X2" s="24" t="s">
        <v>190</v>
      </c>
      <c r="Y2" s="24" t="s">
        <v>191</v>
      </c>
      <c r="Z2" s="24" t="s">
        <v>192</v>
      </c>
      <c r="AA2" s="24" t="s">
        <v>193</v>
      </c>
      <c r="AB2" s="24" t="s">
        <v>194</v>
      </c>
      <c r="AC2" s="24" t="s">
        <v>195</v>
      </c>
      <c r="AD2" s="24" t="s">
        <v>196</v>
      </c>
      <c r="AE2" s="24" t="s">
        <v>197</v>
      </c>
      <c r="AF2" s="24" t="s">
        <v>198</v>
      </c>
      <c r="AG2" s="24" t="s">
        <v>199</v>
      </c>
      <c r="AH2" s="24" t="s">
        <v>200</v>
      </c>
      <c r="AI2" s="24" t="s">
        <v>201</v>
      </c>
      <c r="AJ2" s="24" t="s">
        <v>202</v>
      </c>
      <c r="AK2" s="24" t="s">
        <v>203</v>
      </c>
      <c r="AL2" s="24" t="s">
        <v>204</v>
      </c>
      <c r="AM2" s="24" t="s">
        <v>205</v>
      </c>
      <c r="AN2" s="24" t="s">
        <v>206</v>
      </c>
      <c r="AO2" s="24" t="s">
        <v>207</v>
      </c>
      <c r="AP2" s="24" t="s">
        <v>208</v>
      </c>
      <c r="AQ2" s="24" t="s">
        <v>209</v>
      </c>
      <c r="AR2" s="24" t="s">
        <v>210</v>
      </c>
      <c r="AS2" s="24" t="s">
        <v>211</v>
      </c>
      <c r="AT2" s="24" t="s">
        <v>212</v>
      </c>
      <c r="AU2" s="24" t="s">
        <v>213</v>
      </c>
    </row>
    <row r="3" customFormat="false" ht="15" hidden="false" customHeight="false" outlineLevel="0" collapsed="false">
      <c r="A3" s="10" t="s">
        <v>214</v>
      </c>
      <c r="B3" s="10" t="s">
        <v>215</v>
      </c>
      <c r="C3" s="10" t="s">
        <v>216</v>
      </c>
      <c r="D3" s="10" t="s">
        <v>217</v>
      </c>
      <c r="E3" s="10"/>
      <c r="F3" s="10"/>
      <c r="G3" s="10"/>
      <c r="H3" s="10"/>
      <c r="I3" s="10" t="s">
        <v>218</v>
      </c>
      <c r="J3" s="10"/>
      <c r="K3" s="10"/>
      <c r="L3" s="10" t="s">
        <v>219</v>
      </c>
      <c r="M3" s="10" t="s">
        <v>220</v>
      </c>
      <c r="N3" s="10" t="s">
        <v>221</v>
      </c>
      <c r="O3" s="10"/>
      <c r="P3" s="10" t="s">
        <v>222</v>
      </c>
      <c r="Q3" s="10" t="s">
        <v>223</v>
      </c>
      <c r="R3" s="10" t="s">
        <v>224</v>
      </c>
      <c r="S3" s="10" t="s">
        <v>225</v>
      </c>
      <c r="T3" s="10"/>
      <c r="U3" s="10" t="s">
        <v>226</v>
      </c>
      <c r="V3" s="10"/>
      <c r="W3" s="10"/>
      <c r="X3" s="10" t="s">
        <v>227</v>
      </c>
      <c r="Y3" s="10" t="s">
        <v>228</v>
      </c>
      <c r="Z3" s="10" t="s">
        <v>229</v>
      </c>
      <c r="AA3" s="10" t="s">
        <v>230</v>
      </c>
      <c r="AB3" s="10" t="s">
        <v>231</v>
      </c>
      <c r="AC3" s="10" t="s">
        <v>232</v>
      </c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 t="s">
        <v>233</v>
      </c>
      <c r="AR3" s="10" t="s">
        <v>218</v>
      </c>
      <c r="AS3" s="10" t="s">
        <v>234</v>
      </c>
      <c r="AT3" s="10" t="s">
        <v>235</v>
      </c>
      <c r="AU3" s="10" t="s">
        <v>236</v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6" customFormat="false" ht="15" hidden="false" customHeight="false" outlineLevel="0" collapsed="false">
      <c r="A26" s="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2026-10-19T06:45:04Z</dcterms:created>
  <dc:creator>openpyxl</dc:creator>
  <dc:description/>
  <dc:language>en-US</dc:language>
  <cp:lastModifiedBy/>
  <dcterms:modified xsi:type="dcterms:W3CDTF">2026-10-19T06:45:05Z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